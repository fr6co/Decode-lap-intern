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jfra\OneDrive\Desktop\"/>
    </mc:Choice>
  </mc:AlternateContent>
  <bookViews>
    <workbookView xWindow="0" yWindow="0" windowWidth="19200" windowHeight="7190" activeTab="2"/>
  </bookViews>
  <sheets>
    <sheet name="Sheet2" sheetId="3" r:id="rId1"/>
    <sheet name="Cleaned_Data" sheetId="1" r:id="rId2"/>
    <sheet name="Statistics" sheetId="2" r:id="rId3"/>
  </sheets>
  <calcPr calcId="152511"/>
  <pivotCaches>
    <pivotCache cacheId="21" r:id="rId4"/>
  </pivotCaches>
</workbook>
</file>

<file path=xl/calcChain.xml><?xml version="1.0" encoding="utf-8"?>
<calcChain xmlns="http://schemas.openxmlformats.org/spreadsheetml/2006/main">
  <c r="S7" i="1" l="1"/>
  <c r="R7" i="1"/>
  <c r="Q7" i="1"/>
  <c r="S6" i="1"/>
  <c r="R6" i="1"/>
  <c r="Q6" i="1"/>
  <c r="S5" i="1"/>
  <c r="R5" i="1"/>
  <c r="Q5" i="1"/>
  <c r="S4" i="1"/>
  <c r="R4" i="1"/>
  <c r="Q4" i="1"/>
  <c r="S2" i="1"/>
  <c r="R2" i="1"/>
  <c r="Q2" i="1"/>
</calcChain>
</file>

<file path=xl/sharedStrings.xml><?xml version="1.0" encoding="utf-8"?>
<sst xmlns="http://schemas.openxmlformats.org/spreadsheetml/2006/main" count="10888" uniqueCount="4309">
  <si>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</si>
  <si>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</si>
  <si>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</si>
  <si>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</si>
  <si>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</si>
  <si>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</si>
  <si>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</si>
  <si>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</si>
  <si>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</si>
  <si>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</si>
  <si>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</si>
  <si>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</si>
  <si>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</si>
  <si>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</si>
  <si>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</si>
  <si>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</si>
  <si>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</si>
  <si>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</si>
  <si>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</si>
  <si>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</si>
  <si>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</si>
  <si>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</si>
  <si>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</si>
  <si>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</si>
  <si>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</si>
  <si>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</si>
  <si>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</si>
  <si>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</si>
  <si>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</si>
  <si>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</si>
  <si>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</si>
  <si>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</si>
  <si>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</si>
  <si>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</si>
  <si>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</si>
  <si>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</si>
  <si>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</si>
  <si>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</si>
  <si>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</si>
  <si>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</si>
  <si>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</si>
  <si>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</si>
  <si>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</si>
  <si>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</si>
  <si>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</si>
  <si>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</si>
  <si>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</si>
  <si>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</si>
  <si>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</si>
  <si>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</si>
  <si>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</si>
  <si>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</si>
  <si>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</si>
  <si>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</si>
  <si>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</si>
  <si>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</si>
  <si>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</si>
  <si>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</si>
  <si>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</si>
  <si>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</si>
  <si>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</si>
  <si>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</si>
  <si>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</si>
  <si>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</si>
  <si>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</si>
  <si>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</si>
  <si>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</si>
  <si>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</si>
  <si>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</si>
  <si>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</si>
  <si>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</si>
  <si>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</si>
  <si>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</si>
  <si>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</si>
  <si>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</si>
  <si>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</si>
  <si>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</si>
  <si>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</si>
  <si>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</si>
  <si>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</si>
  <si>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</si>
  <si>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</si>
  <si>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</si>
  <si>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</si>
  <si>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</si>
  <si>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</si>
  <si>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</si>
  <si>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</si>
  <si>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</si>
  <si>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</si>
  <si>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</si>
  <si>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</si>
  <si>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</si>
  <si>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</si>
  <si>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</si>
  <si>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</si>
  <si>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</si>
  <si>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</si>
  <si>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</si>
  <si>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</si>
  <si>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</si>
  <si>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</si>
  <si>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</si>
  <si>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</si>
  <si>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</si>
  <si>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</si>
  <si>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</si>
  <si>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</si>
  <si>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</si>
  <si>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</si>
  <si>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</si>
  <si>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</si>
  <si>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</si>
  <si>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</si>
  <si>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</si>
  <si>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</si>
  <si>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</si>
  <si>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</si>
  <si>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</si>
  <si>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</si>
  <si>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</si>
  <si>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</si>
  <si>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</si>
  <si>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</si>
  <si>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</si>
  <si>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</si>
  <si>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</si>
  <si>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</si>
  <si>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</si>
  <si>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</si>
  <si>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</si>
  <si>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</si>
  <si>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</si>
  <si>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</si>
  <si>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</si>
  <si>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</si>
  <si>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</si>
  <si>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</si>
  <si>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</si>
  <si>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</si>
  <si>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</si>
  <si>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</si>
  <si>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</si>
  <si>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</si>
  <si>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</si>
  <si>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</si>
  <si>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</si>
  <si>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</si>
  <si>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</si>
  <si>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</si>
  <si>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</si>
  <si>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</si>
  <si>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</si>
  <si>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</si>
  <si>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</si>
  <si>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</si>
  <si>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</si>
  <si>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</si>
  <si>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</si>
  <si>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</si>
  <si>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</si>
  <si>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</si>
  <si>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</si>
  <si>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</si>
  <si>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</si>
  <si>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</si>
  <si>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</si>
  <si>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</si>
  <si>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</si>
  <si>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</si>
  <si>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</si>
  <si>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</si>
  <si>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</si>
  <si>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</si>
  <si>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</si>
  <si>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</si>
  <si>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</si>
  <si>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</si>
  <si>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</si>
  <si>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</si>
  <si>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</si>
  <si>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</si>
  <si>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</si>
  <si>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</si>
  <si>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</si>
  <si>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</si>
  <si>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</si>
  <si>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</si>
  <si>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</si>
  <si>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</si>
  <si>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</si>
  <si>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</si>
  <si>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</si>
  <si>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</si>
  <si>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</si>
  <si>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</si>
  <si>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</si>
  <si>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</si>
  <si>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</si>
  <si>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</si>
  <si>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</si>
  <si>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</si>
  <si>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</si>
  <si>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</si>
  <si>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</si>
  <si>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</si>
  <si>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</si>
  <si>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</si>
  <si>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</si>
  <si>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</si>
  <si>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</si>
  <si>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</si>
  <si>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</si>
  <si>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</si>
  <si>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</si>
  <si>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</si>
  <si>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</si>
  <si>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</si>
  <si>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</si>
  <si>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</si>
  <si>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</si>
  <si>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</si>
  <si>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</si>
  <si>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</si>
  <si>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</si>
  <si>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</si>
  <si>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</si>
  <si>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</si>
  <si>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</si>
  <si>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</si>
  <si>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</si>
  <si>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</si>
  <si>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</si>
  <si>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</si>
  <si>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</si>
  <si>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</si>
  <si>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</si>
  <si>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</si>
  <si>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</si>
  <si>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</si>
  <si>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</si>
  <si>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</si>
  <si>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</si>
  <si>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</si>
  <si>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</si>
  <si>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</si>
  <si>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</si>
  <si>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</si>
  <si>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</si>
  <si>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</si>
  <si>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</si>
  <si>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</si>
  <si>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</si>
  <si>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</si>
  <si>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</si>
  <si>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</si>
  <si>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</si>
  <si>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</si>
  <si>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</si>
  <si>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</si>
  <si>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</si>
  <si>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</si>
  <si>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</si>
  <si>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</si>
  <si>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</si>
  <si>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</si>
  <si>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</si>
  <si>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</si>
  <si>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</si>
  <si>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</si>
  <si>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</si>
  <si>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</si>
  <si>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</si>
  <si>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</si>
  <si>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</si>
  <si>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</si>
  <si>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</si>
  <si>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</si>
  <si>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</si>
  <si>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</si>
  <si>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</si>
  <si>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</si>
  <si>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</si>
  <si>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</si>
  <si>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</si>
  <si>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</si>
  <si>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</si>
  <si>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</si>
  <si>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</si>
  <si>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</si>
  <si>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</si>
  <si>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</si>
  <si>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</si>
  <si>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</si>
  <si>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</si>
  <si>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</si>
  <si>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</si>
  <si>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</si>
  <si>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</si>
  <si>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</si>
  <si>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</si>
  <si>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</si>
  <si>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</si>
  <si>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</si>
  <si>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</si>
  <si>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</si>
  <si>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</si>
  <si>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</si>
  <si>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</si>
  <si>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</si>
  <si>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</si>
  <si>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</si>
  <si>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</si>
  <si>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</si>
  <si>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</si>
  <si>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</si>
  <si>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</si>
  <si>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</si>
  <si>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</si>
  <si>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</si>
  <si>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</si>
  <si>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</si>
  <si>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</si>
  <si>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</si>
  <si>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</si>
  <si>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</si>
  <si>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</si>
  <si>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</si>
  <si>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</si>
  <si>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</si>
  <si>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</si>
  <si>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</si>
  <si>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</si>
  <si>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</si>
  <si>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</si>
  <si>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</si>
  <si>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</si>
  <si>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</si>
  <si>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</si>
  <si>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</si>
  <si>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</si>
  <si>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</si>
  <si>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</si>
  <si>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</si>
  <si>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</si>
  <si>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</si>
  <si>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</si>
  <si>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</si>
  <si>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</si>
  <si>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</si>
  <si>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</si>
  <si>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</si>
  <si>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</si>
  <si>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</si>
  <si>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</si>
  <si>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</si>
  <si>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</si>
  <si>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</si>
  <si>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</si>
  <si>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</si>
  <si>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</si>
  <si>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</si>
  <si>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</si>
  <si>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</si>
  <si>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</si>
  <si>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</si>
  <si>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</si>
  <si>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</si>
  <si>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</si>
  <si>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</si>
  <si>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</si>
  <si>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</si>
  <si>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</si>
  <si>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</si>
  <si>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</si>
  <si>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</si>
  <si>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</si>
  <si>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</si>
  <si>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</si>
  <si>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</si>
  <si>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</si>
  <si>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</si>
  <si>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</si>
  <si>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</si>
  <si>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</si>
  <si>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</si>
  <si>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</si>
  <si>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</si>
  <si>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</si>
  <si>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</si>
  <si>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</si>
  <si>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</si>
  <si>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</si>
  <si>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</si>
  <si>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</si>
  <si>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</si>
  <si>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</si>
  <si>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</si>
  <si>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</si>
  <si>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</si>
  <si>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</si>
  <si>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</si>
  <si>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</si>
  <si>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</si>
  <si>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</si>
  <si>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</si>
  <si>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</si>
  <si>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</si>
  <si>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</si>
  <si>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</si>
  <si>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</si>
  <si>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</si>
  <si>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</si>
  <si>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</si>
  <si>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</si>
  <si>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</si>
  <si>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</si>
  <si>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</si>
  <si>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</si>
  <si>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</si>
  <si>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</si>
  <si>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</si>
  <si>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</si>
  <si>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</si>
  <si>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</si>
  <si>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</si>
  <si>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</si>
  <si>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</si>
  <si>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</si>
  <si>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</si>
  <si>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</si>
  <si>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</si>
  <si>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</si>
  <si>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</si>
  <si>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</si>
  <si>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</si>
  <si>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</si>
  <si>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</si>
  <si>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</si>
  <si>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</si>
  <si>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</si>
  <si>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</si>
  <si>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</si>
  <si>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</si>
  <si>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</si>
  <si>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</si>
  <si>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</si>
  <si>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</si>
  <si>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</si>
  <si>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</si>
  <si>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</si>
  <si>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</si>
  <si>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</si>
  <si>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</si>
  <si>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</si>
  <si>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</si>
  <si>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</si>
  <si>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</si>
  <si>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</si>
  <si>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</si>
  <si>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</si>
  <si>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</si>
  <si>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</si>
  <si>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</si>
  <si>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</si>
  <si>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</si>
  <si>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</si>
  <si>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</si>
  <si>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</si>
  <si>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</si>
  <si>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</si>
  <si>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</si>
  <si>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</si>
  <si>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</si>
  <si>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</si>
  <si>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</si>
  <si>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</si>
  <si>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</si>
  <si>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</si>
  <si>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</si>
  <si>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</si>
  <si>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</si>
  <si>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</si>
  <si>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</si>
  <si>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</si>
  <si>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</si>
  <si>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</si>
  <si>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</si>
  <si>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</si>
  <si>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</si>
  <si>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</si>
  <si>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</si>
  <si>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</si>
  <si>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</si>
  <si>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</si>
  <si>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</si>
  <si>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</si>
  <si>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</si>
  <si>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</si>
  <si>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</si>
  <si>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</si>
  <si>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</si>
  <si>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</si>
  <si>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</si>
  <si>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</si>
  <si>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</si>
  <si>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</si>
  <si>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</si>
  <si>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</si>
  <si>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</si>
  <si>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</si>
  <si>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</si>
  <si>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</si>
  <si>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</si>
  <si>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</si>
  <si>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</si>
  <si>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</si>
  <si>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</si>
  <si>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</si>
  <si>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</si>
  <si>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</si>
  <si>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</si>
  <si>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</si>
  <si>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</si>
  <si>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</si>
  <si>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</si>
  <si>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</si>
  <si>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</si>
  <si>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</si>
  <si>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</si>
  <si>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</si>
  <si>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</si>
  <si>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</si>
  <si>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</si>
  <si>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</si>
  <si>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</si>
  <si>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</si>
  <si>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</si>
  <si>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</si>
  <si>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</si>
  <si>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</si>
  <si>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</si>
  <si>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</si>
  <si>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</si>
  <si>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</si>
  <si>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</si>
  <si>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</si>
  <si>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</si>
  <si>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</si>
  <si>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</si>
  <si>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</si>
  <si>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</si>
  <si>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</si>
  <si>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</si>
  <si>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</si>
  <si>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</si>
  <si>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</si>
  <si>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</si>
  <si>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</si>
  <si>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</si>
  <si>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</si>
  <si>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</si>
  <si>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</si>
  <si>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</si>
  <si>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</si>
  <si>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</si>
  <si>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</si>
  <si>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</si>
  <si>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</si>
  <si>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</si>
  <si>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</si>
  <si>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</si>
  <si>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</si>
  <si>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</si>
  <si>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</si>
  <si>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</si>
  <si>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</si>
  <si>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</si>
  <si>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</si>
  <si>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</si>
  <si>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</si>
  <si>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</si>
  <si>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</si>
  <si>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</si>
  <si>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</si>
  <si>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</si>
  <si>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</si>
  <si>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</si>
  <si>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</si>
  <si>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</si>
  <si>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</si>
  <si>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</si>
  <si>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</si>
  <si>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</si>
  <si>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</si>
  <si>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</si>
  <si>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</si>
  <si>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</si>
  <si>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</si>
  <si>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</si>
  <si>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</si>
  <si>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</si>
  <si>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</si>
  <si>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</si>
  <si>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</si>
  <si>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</si>
  <si>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</si>
  <si>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</si>
  <si>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</si>
  <si>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</si>
  <si>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</si>
  <si>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</si>
  <si>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</si>
  <si>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</si>
  <si>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</si>
  <si>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</si>
  <si>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</si>
  <si>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</si>
  <si>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</si>
  <si>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</si>
  <si>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</si>
  <si>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</si>
  <si>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</si>
  <si>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</si>
  <si>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</si>
  <si>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</si>
  <si>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</si>
  <si>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</si>
  <si>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</si>
  <si>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</si>
  <si>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</si>
  <si>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</si>
  <si>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</si>
  <si>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</si>
  <si>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</si>
  <si>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</si>
  <si>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</si>
  <si>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</si>
  <si>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</si>
  <si>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</si>
  <si>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</si>
  <si>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</si>
  <si>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</si>
  <si>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</si>
  <si>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</si>
  <si>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</si>
  <si>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</si>
  <si>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</si>
  <si>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</si>
  <si>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</si>
  <si>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</si>
  <si>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</si>
  <si>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</si>
  <si>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</si>
  <si>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</si>
  <si>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</si>
  <si>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</si>
  <si>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</si>
  <si>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</si>
  <si>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</si>
  <si>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</si>
  <si>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</si>
  <si>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</si>
  <si>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</si>
  <si>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</si>
  <si>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</si>
  <si>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</si>
  <si>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</si>
  <si>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</si>
  <si>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</si>
  <si>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</si>
  <si>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</si>
  <si>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</si>
  <si>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</si>
  <si>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</si>
  <si>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</si>
  <si>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</si>
  <si>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</si>
  <si>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</si>
  <si>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</si>
  <si>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</si>
  <si>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</si>
  <si>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</si>
  <si>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</si>
  <si>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</si>
  <si>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</si>
  <si>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</si>
  <si>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</si>
  <si>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</si>
  <si>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</si>
  <si>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</si>
  <si>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</si>
  <si>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</si>
  <si>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</si>
  <si>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</si>
  <si>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</si>
  <si>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</si>
  <si>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</si>
  <si>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</si>
  <si>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</si>
  <si>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</si>
  <si>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</si>
  <si>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</si>
  <si>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</si>
  <si>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</si>
  <si>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</si>
  <si>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</si>
  <si>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</si>
  <si>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</si>
  <si>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</si>
  <si>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</si>
  <si>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</si>
  <si>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</si>
  <si>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</si>
  <si>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</si>
  <si>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</si>
  <si>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</si>
  <si>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</si>
  <si>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</si>
  <si>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</si>
  <si>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</si>
  <si>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</si>
  <si>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</si>
  <si>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</si>
  <si>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</si>
  <si>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</si>
  <si>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</si>
  <si>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</si>
  <si>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</si>
  <si>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</si>
  <si>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</si>
  <si>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</si>
  <si>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</si>
  <si>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</si>
  <si>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</si>
  <si>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</si>
  <si>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</si>
  <si>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</si>
  <si>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</si>
  <si>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</si>
  <si>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</si>
  <si>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</si>
  <si>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</si>
  <si>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</si>
  <si>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</si>
  <si>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</si>
  <si>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</si>
  <si>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</si>
  <si>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</si>
  <si>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</si>
  <si>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</si>
  <si>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</si>
  <si>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</si>
  <si>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</si>
  <si>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</si>
  <si>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</si>
  <si>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</si>
  <si>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</si>
  <si>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</si>
  <si>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</si>
  <si>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</si>
  <si>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</si>
  <si>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</si>
  <si>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</si>
  <si>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</si>
  <si>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</si>
  <si>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</si>
  <si>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</si>
  <si>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</si>
  <si>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</si>
  <si>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</si>
  <si>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</si>
  <si>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</si>
  <si>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</si>
  <si>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</si>
  <si>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</si>
  <si>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</si>
  <si>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</si>
  <si>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</si>
  <si>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</si>
  <si>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</si>
  <si>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</si>
  <si>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</si>
  <si>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</si>
  <si>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</si>
  <si>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</si>
  <si>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</si>
  <si>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</si>
  <si>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</si>
  <si>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</si>
  <si>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</si>
  <si>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</si>
  <si>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</si>
  <si>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</si>
  <si>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</si>
  <si>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</si>
  <si>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</si>
  <si>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</si>
  <si>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</si>
  <si>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</si>
  <si>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</si>
  <si>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</si>
  <si>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</si>
  <si>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</si>
  <si>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</si>
  <si>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</si>
  <si>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</si>
  <si>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</si>
  <si>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</si>
  <si>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</si>
  <si>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</si>
  <si>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</si>
  <si>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</si>
  <si>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</si>
  <si>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</si>
  <si>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</si>
  <si>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</si>
  <si>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</si>
  <si>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</si>
  <si>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</si>
  <si>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</si>
  <si>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</si>
  <si>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</si>
  <si>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</si>
  <si>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</si>
  <si>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</si>
  <si>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</si>
  <si>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</si>
  <si>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</si>
  <si>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</si>
  <si>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</si>
  <si>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</si>
  <si>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</si>
  <si>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</si>
  <si>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</si>
  <si>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</si>
  <si>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</si>
  <si>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</si>
  <si>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</si>
  <si>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</si>
  <si>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</si>
  <si>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</si>
  <si>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</si>
  <si>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</si>
  <si>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</si>
  <si>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</si>
  <si>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</si>
  <si>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</si>
  <si>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</si>
  <si>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</si>
  <si>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</si>
  <si>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</si>
  <si>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</si>
  <si>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</si>
  <si>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</si>
  <si>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</si>
  <si>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</si>
  <si>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</si>
  <si>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</si>
  <si>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</si>
  <si>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</si>
  <si>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</si>
  <si>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</si>
  <si>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</si>
  <si>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</si>
  <si>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</si>
  <si>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</si>
  <si>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</si>
  <si>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</si>
  <si>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</si>
  <si>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</si>
  <si>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</si>
  <si>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</si>
  <si>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</si>
  <si>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</si>
  <si>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</si>
  <si>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</si>
  <si>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</si>
  <si>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</si>
  <si>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</si>
  <si>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</si>
  <si>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</si>
  <si>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</si>
  <si>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</si>
  <si>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</si>
  <si>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</si>
  <si>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</si>
  <si>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</si>
  <si>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</si>
  <si>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</si>
  <si>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</si>
  <si>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</si>
  <si>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</si>
  <si>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</si>
  <si>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</si>
  <si>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</si>
  <si>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</si>
  <si>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</si>
  <si>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</si>
  <si>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</si>
  <si>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</si>
  <si>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</si>
  <si>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</si>
  <si>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</si>
  <si>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</si>
  <si>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</si>
  <si>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</si>
  <si>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</si>
  <si>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</si>
  <si>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</si>
  <si>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</si>
  <si>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</si>
  <si>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</si>
  <si>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</si>
  <si>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</si>
  <si>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</si>
  <si>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</si>
  <si>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</si>
  <si>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</si>
  <si>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</si>
  <si>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</si>
  <si>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</si>
  <si>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</si>
  <si>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</si>
  <si>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</si>
  <si>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</si>
  <si>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</si>
  <si>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</si>
  <si>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</si>
  <si>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</si>
  <si>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</si>
  <si>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</si>
  <si>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</si>
  <si>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</si>
  <si>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</si>
  <si>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</si>
  <si>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</si>
  <si>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</si>
  <si>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</si>
  <si>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</si>
  <si>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</si>
  <si>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</si>
  <si>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</si>
  <si>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</si>
  <si>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</si>
  <si>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</si>
  <si>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</si>
  <si>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</si>
  <si>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</si>
  <si>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</si>
  <si>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</si>
  <si>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</si>
  <si>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</si>
  <si>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</si>
  <si>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</si>
  <si>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</si>
  <si>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</si>
  <si>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</si>
  <si>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</si>
  <si>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</si>
  <si>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</si>
  <si>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</si>
  <si>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</si>
  <si>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</si>
  <si>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</si>
  <si>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</si>
  <si>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</si>
  <si>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</si>
  <si>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</si>
  <si>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</si>
  <si>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</si>
  <si>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</si>
  <si>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</si>
  <si>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</si>
  <si>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</si>
  <si>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</si>
  <si>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</si>
  <si>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</si>
  <si>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</si>
  <si>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</si>
  <si>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</si>
  <si>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</si>
  <si>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</si>
  <si>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</si>
  <si>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</si>
  <si>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</si>
  <si>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</si>
  <si>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</si>
  <si>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</si>
  <si>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</si>
  <si>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</si>
  <si>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</si>
  <si>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</si>
  <si>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</si>
  <si>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</si>
  <si>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</si>
  <si>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</si>
  <si>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</si>
  <si>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</si>
  <si>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</si>
  <si>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</si>
  <si>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</si>
  <si>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</si>
  <si>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</si>
  <si>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</si>
  <si>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</si>
  <si>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</si>
  <si>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</si>
  <si>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</si>
  <si>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</si>
  <si>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</si>
  <si>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</si>
  <si>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</si>
  <si>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</si>
  <si>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</si>
  <si>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</si>
  <si>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</si>
  <si>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</si>
  <si>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</si>
  <si>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</si>
  <si>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</si>
  <si>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</si>
  <si>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</si>
  <si>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</si>
  <si>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</si>
  <si>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</si>
  <si>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</si>
  <si>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</si>
  <si>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</si>
  <si>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</si>
  <si>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</si>
  <si>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</si>
  <si>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</si>
  <si>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</si>
  <si>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</si>
  <si>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</si>
  <si>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</si>
  <si>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</si>
  <si>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</si>
  <si>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</si>
  <si>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</si>
  <si>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</si>
  <si>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</si>
  <si>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</si>
  <si>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</si>
  <si>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</si>
  <si>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</si>
  <si>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</si>
  <si>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</si>
  <si>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</si>
  <si>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</si>
  <si>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</si>
  <si>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</si>
  <si>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</si>
  <si>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</si>
  <si>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</si>
  <si>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</si>
  <si>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</si>
  <si>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</si>
  <si>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</si>
  <si>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</si>
  <si>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</si>
  <si>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</si>
  <si>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</si>
  <si>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</si>
  <si>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</si>
  <si>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</si>
  <si>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</si>
  <si>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</si>
  <si>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</si>
  <si>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</si>
  <si>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</si>
  <si>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</si>
  <si>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</si>
  <si>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</si>
  <si>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</si>
  <si>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</si>
  <si>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</si>
  <si>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</si>
  <si>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</si>
  <si>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</si>
  <si>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</si>
  <si>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</si>
  <si>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</si>
  <si>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</si>
  <si>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</si>
  <si>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</si>
  <si>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</si>
  <si>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</si>
  <si>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</si>
  <si>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</si>
  <si>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</si>
  <si>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</si>
  <si>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</si>
  <si>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</si>
  <si>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</si>
  <si>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</si>
  <si>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</si>
  <si>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</si>
  <si>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</si>
  <si>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</si>
  <si>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</si>
  <si>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</si>
  <si>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</si>
  <si>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</si>
  <si>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</si>
  <si>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</si>
  <si>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</si>
  <si>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</si>
  <si>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</si>
  <si>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</si>
  <si>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</si>
  <si>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</si>
  <si>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</si>
  <si>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</si>
  <si>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</si>
  <si>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</si>
  <si>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</si>
  <si>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</si>
  <si>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</si>
  <si>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</si>
  <si>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</si>
  <si>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</si>
  <si>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</si>
  <si>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</si>
  <si>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</si>
  <si>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</si>
  <si>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</si>
  <si>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</si>
  <si>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</si>
  <si>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</si>
  <si>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</si>
  <si>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</si>
  <si>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</si>
  <si>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</si>
  <si>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</si>
  <si>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</si>
  <si>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</si>
  <si>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</si>
  <si>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</si>
  <si>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</si>
  <si>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</si>
  <si>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</si>
  <si>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</si>
  <si>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</si>
  <si>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</si>
  <si>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</si>
  <si>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</si>
  <si>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</si>
  <si>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</si>
  <si>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</si>
  <si>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</si>
  <si>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</si>
  <si>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</si>
  <si>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</si>
  <si>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</si>
  <si>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</si>
  <si>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</si>
  <si>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</si>
  <si>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</si>
  <si>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</si>
  <si>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</si>
  <si>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</si>
  <si>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</si>
  <si>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</si>
  <si>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</si>
  <si>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</si>
  <si>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</si>
  <si>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</si>
  <si>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</si>
  <si>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</si>
  <si>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</si>
  <si>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</si>
  <si>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</si>
  <si>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</si>
  <si>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</si>
  <si>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</si>
  <si>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</si>
  <si>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</si>
  <si>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</si>
  <si>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</si>
  <si>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</si>
  <si>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</si>
  <si>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</si>
  <si>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</si>
  <si>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</si>
  <si>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</si>
  <si>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</si>
  <si>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</si>
  <si>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</si>
  <si>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</si>
  <si>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</si>
  <si>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</si>
  <si>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</si>
  <si>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</si>
  <si>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</si>
  <si>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</si>
  <si>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</si>
  <si>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</si>
  <si>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</si>
  <si>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</si>
  <si>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</si>
  <si>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</si>
  <si>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</si>
  <si>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</si>
  <si>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</si>
  <si>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</si>
  <si>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</si>
  <si>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</si>
  <si>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</si>
  <si>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</si>
  <si>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</si>
  <si>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</si>
  <si>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</si>
  <si>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</si>
  <si>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</si>
  <si>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</si>
  <si>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</si>
  <si>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</si>
  <si>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</si>
  <si>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</si>
  <si>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</si>
  <si>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</si>
  <si>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</si>
  <si>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</si>
  <si>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</si>
  <si>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</si>
  <si>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</si>
  <si>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</si>
  <si>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</si>
  <si>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</si>
  <si>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</si>
  <si>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</si>
  <si>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</si>
  <si>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</si>
  <si>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</si>
  <si>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</si>
  <si>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</si>
  <si>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</si>
  <si>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</si>
  <si>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</si>
  <si>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</si>
  <si>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</si>
  <si>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</si>
  <si>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</si>
  <si>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</si>
  <si>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</si>
  <si>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</si>
  <si>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</si>
  <si>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</si>
  <si>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</si>
  <si>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</si>
  <si>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</si>
  <si>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</si>
  <si>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</si>
  <si>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</si>
  <si>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</si>
  <si>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</si>
  <si>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</si>
  <si>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</si>
  <si>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</si>
  <si>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</si>
  <si>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</si>
  <si>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</si>
  <si>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</si>
  <si>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</si>
  <si>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</si>
  <si>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</si>
  <si>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</si>
  <si>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</si>
  <si>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</si>
  <si>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</si>
  <si>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</si>
  <si>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</si>
  <si>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</si>
  <si>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</si>
  <si>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</si>
  <si>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</si>
  <si>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</si>
  <si>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</si>
  <si>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</si>
  <si>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</si>
  <si>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</si>
  <si>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</si>
  <si>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</si>
  <si>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</si>
  <si>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</si>
  <si>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</si>
  <si>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</si>
  <si>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</si>
  <si>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</si>
  <si>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</si>
  <si>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</si>
  <si>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</si>
  <si>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</si>
  <si>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</si>
  <si>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</si>
  <si>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</si>
  <si>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</si>
  <si>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</si>
  <si>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</si>
  <si>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</si>
  <si>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</si>
  <si>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</si>
  <si>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</si>
  <si>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</si>
  <si>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</si>
  <si>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</si>
  <si>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</si>
  <si>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</si>
  <si>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</si>
  <si>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</si>
  <si>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</si>
  <si>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</si>
  <si>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</si>
  <si>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</si>
  <si>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</si>
  <si>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</si>
  <si>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</si>
  <si>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</si>
  <si>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</si>
  <si>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</si>
  <si>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</si>
  <si>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</si>
  <si>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</si>
  <si>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</si>
  <si>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</si>
  <si>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</si>
  <si>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</si>
  <si>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</si>
  <si>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</si>
  <si>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</si>
  <si>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</si>
  <si>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</si>
  <si>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</si>
  <si>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</si>
  <si>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</si>
  <si>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</si>
  <si>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</si>
  <si>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</si>
  <si>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</si>
  <si>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</si>
  <si>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</si>
  <si>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</si>
  <si>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</si>
  <si>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</si>
  <si>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</si>
  <si>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</si>
  <si>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</si>
  <si>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</si>
  <si>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</si>
  <si>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</si>
  <si>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</si>
  <si>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</si>
  <si>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</si>
  <si>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</si>
  <si>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</si>
  <si>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</si>
  <si>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</si>
  <si>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</si>
  <si>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</si>
  <si>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</si>
  <si>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</si>
  <si>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</si>
  <si>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</si>
  <si>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</si>
  <si>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</si>
  <si>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</si>
  <si>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</si>
  <si>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</si>
  <si>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</si>
  <si>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</si>
  <si>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</si>
  <si>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</si>
  <si>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</si>
  <si>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</si>
  <si>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</si>
  <si>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</si>
  <si>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</si>
  <si>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</si>
  <si>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</si>
  <si>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</si>
  <si>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</si>
  <si>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</si>
  <si>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</si>
  <si>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</si>
  <si>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</si>
  <si>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</si>
  <si>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</si>
  <si>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</si>
  <si>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</si>
  <si>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</si>
  <si>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</si>
  <si>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</si>
  <si>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</si>
  <si>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</si>
  <si>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</si>
  <si>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</si>
  <si>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</si>
  <si>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</si>
  <si>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</si>
  <si>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</si>
  <si>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</si>
  <si>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</si>
  <si>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</si>
  <si>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</si>
  <si>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</si>
  <si>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</si>
  <si>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</si>
  <si>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</si>
  <si>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</si>
  <si>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</si>
  <si>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</si>
  <si>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</si>
  <si>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</si>
  <si>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</si>
  <si>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</si>
  <si>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</si>
  <si>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</si>
  <si>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</si>
  <si>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</si>
  <si>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</si>
  <si>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</si>
  <si>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</si>
  <si>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</si>
  <si>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</si>
  <si>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</si>
  <si>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</si>
  <si>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</si>
  <si>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</si>
  <si>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</si>
  <si>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</si>
  <si>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</si>
  <si>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</si>
  <si>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</si>
  <si>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</si>
  <si>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</si>
  <si>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</si>
  <si>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</si>
  <si>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</si>
  <si>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</si>
  <si>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</si>
  <si>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</si>
  <si>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</si>
  <si>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</si>
  <si>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</si>
  <si>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</si>
  <si>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</si>
  <si>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</si>
  <si>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</si>
  <si>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</si>
  <si>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</si>
  <si>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</si>
  <si>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</si>
  <si>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</si>
  <si>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</si>
  <si>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</si>
  <si>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</si>
  <si>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</si>
  <si>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</si>
  <si>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</si>
  <si>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</si>
  <si>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</si>
  <si>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</si>
  <si>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</si>
  <si>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</si>
  <si>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</si>
  <si>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</si>
  <si>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</si>
  <si>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</si>
  <si>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</si>
  <si>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</si>
  <si>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</si>
  <si>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</si>
  <si>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</si>
  <si>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</si>
  <si>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</si>
  <si>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</si>
  <si>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</si>
  <si>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</si>
  <si>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</si>
  <si>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</si>
  <si>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</si>
  <si>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</si>
  <si>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</si>
  <si>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</si>
  <si>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</si>
  <si>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</si>
  <si>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</si>
  <si>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</si>
  <si>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</si>
  <si>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</si>
  <si>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</si>
  <si>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</si>
  <si>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</si>
  <si>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</si>
  <si>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</si>
  <si>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</si>
  <si>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</si>
  <si>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</si>
  <si>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</si>
  <si>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</si>
  <si>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</si>
  <si>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</si>
  <si>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</si>
  <si>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</si>
  <si>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</si>
  <si>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</si>
  <si>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</si>
  <si>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</si>
  <si>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</si>
  <si>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</si>
  <si>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</si>
  <si>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</si>
  <si>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</si>
  <si>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</si>
  <si>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</si>
  <si>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</si>
  <si>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</si>
  <si>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</si>
  <si>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</si>
  <si>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</si>
  <si>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</si>
  <si>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</si>
  <si>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</si>
  <si>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</si>
  <si>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</si>
  <si>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</si>
  <si>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</si>
  <si>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</si>
  <si>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</si>
  <si>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</si>
  <si>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</si>
  <si>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</si>
  <si>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</si>
  <si>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</si>
  <si>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</si>
  <si>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</si>
  <si>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</si>
  <si>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</si>
  <si>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</si>
  <si>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</si>
  <si>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</si>
  <si>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</si>
  <si>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</si>
  <si>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</si>
  <si>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</si>
  <si>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</si>
  <si>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</si>
  <si>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</si>
  <si>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</si>
  <si>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</si>
  <si>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</si>
  <si>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</si>
  <si>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</si>
  <si>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</si>
  <si>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</si>
  <si>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</si>
  <si>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</si>
  <si>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</si>
  <si>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</si>
  <si>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</si>
  <si>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</si>
  <si>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</si>
  <si>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</si>
  <si>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</si>
  <si>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</si>
  <si>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</si>
  <si>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</si>
  <si>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</si>
  <si>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</si>
  <si>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</si>
  <si>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</si>
  <si>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</si>
  <si>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</si>
  <si>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</si>
  <si>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</si>
  <si>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</si>
  <si>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</si>
  <si>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</si>
  <si>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</si>
  <si>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</si>
  <si>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</si>
  <si>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</si>
  <si>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</si>
  <si>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</si>
  <si>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</si>
  <si>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</si>
  <si>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</si>
  <si>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</si>
  <si>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</si>
  <si>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</si>
  <si>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</si>
  <si>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</si>
  <si>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</si>
  <si>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</si>
  <si>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</si>
  <si>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</si>
  <si>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</si>
  <si>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</si>
  <si>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</si>
  <si>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</si>
  <si>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</si>
  <si>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</si>
  <si>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</si>
  <si>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</si>
  <si>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</si>
  <si>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</si>
  <si>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</si>
  <si>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</si>
  <si>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</si>
  <si>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</si>
  <si>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</si>
  <si>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</si>
  <si>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</si>
  <si>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</si>
  <si>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</si>
  <si>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</si>
  <si>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</si>
  <si>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</si>
  <si>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</si>
  <si>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</si>
  <si>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</si>
  <si>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</si>
  <si>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</si>
  <si>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</si>
  <si>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</si>
  <si>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</si>
  <si>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</si>
  <si>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</si>
  <si>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</si>
  <si>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</si>
  <si>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</si>
  <si>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</si>
  <si>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</si>
  <si>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</si>
  <si>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</si>
  <si>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</si>
  <si>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</si>
  <si>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</si>
  <si>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</si>
  <si>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</si>
  <si>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</si>
  <si>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</si>
  <si>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</si>
  <si>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</si>
  <si>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</si>
  <si>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</si>
  <si>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</si>
  <si>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</si>
  <si>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</si>
  <si>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</si>
  <si>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</si>
  <si>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</si>
  <si>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</si>
  <si>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</si>
  <si>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</si>
  <si>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</si>
  <si>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</si>
  <si>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</si>
  <si>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</si>
  <si>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</si>
  <si>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</si>
  <si>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</si>
  <si>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</si>
  <si>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</si>
  <si>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</si>
  <si>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</si>
  <si>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</si>
  <si>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</si>
  <si>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</si>
  <si>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</si>
  <si>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</si>
  <si>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</si>
  <si>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</si>
  <si>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</si>
  <si>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</si>
  <si>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</si>
  <si>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</si>
  <si>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</si>
  <si>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</si>
  <si>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</si>
  <si>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</si>
  <si>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</si>
  <si>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</si>
  <si>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</si>
  <si>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</si>
  <si>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</si>
  <si>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</si>
  <si>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</si>
  <si>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</si>
  <si>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</si>
  <si>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</si>
  <si>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</si>
  <si>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</si>
  <si>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</si>
  <si>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</si>
  <si>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</si>
  <si>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</si>
  <si>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</si>
  <si>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</si>
  <si>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</si>
  <si>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</si>
  <si>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</si>
  <si>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</si>
  <si>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</si>
  <si>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</si>
  <si>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</si>
  <si>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</si>
  <si>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</si>
  <si>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</si>
  <si>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</si>
  <si>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</si>
  <si>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</si>
  <si>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</si>
  <si>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</si>
  <si>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</si>
  <si>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</si>
  <si>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</si>
  <si>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</si>
  <si>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</si>
  <si>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</si>
  <si>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</si>
  <si>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</si>
  <si>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</si>
  <si>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</si>
  <si>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</si>
  <si>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</si>
  <si>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</si>
  <si>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</si>
  <si>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</si>
  <si>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</si>
  <si>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</si>
  <si>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</si>
  <si>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</si>
  <si>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</si>
  <si>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</si>
  <si>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</si>
  <si>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</si>
  <si>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</si>
  <si>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</si>
  <si>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</si>
  <si>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</si>
  <si>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</si>
  <si>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</si>
  <si>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</si>
  <si>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</si>
  <si>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</si>
  <si>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</si>
  <si>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</si>
  <si>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</si>
  <si>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</si>
  <si>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</si>
  <si>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</si>
  <si>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</si>
  <si>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</si>
  <si>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</si>
  <si>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</si>
  <si>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</si>
  <si>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</si>
  <si>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</si>
  <si>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</si>
  <si>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</si>
  <si>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</si>
  <si>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</si>
  <si>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</si>
  <si>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</si>
  <si>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</si>
  <si>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</si>
  <si>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</si>
  <si>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</si>
  <si>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</si>
  <si>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</si>
  <si>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</si>
  <si>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</si>
  <si>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</si>
  <si>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</si>
  <si>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</si>
  <si>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</si>
  <si>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</si>
  <si>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</si>
  <si>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</si>
  <si>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</si>
  <si>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</si>
  <si>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</si>
  <si>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</si>
  <si>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</si>
  <si>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</si>
  <si>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</si>
  <si>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</si>
  <si>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</si>
  <si>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</si>
  <si>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</si>
  <si>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</si>
  <si>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</si>
  <si>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</si>
  <si>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</si>
  <si>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</si>
  <si>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</si>
  <si>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</si>
  <si>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</si>
  <si>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</si>
  <si>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</si>
  <si>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</si>
  <si>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</si>
  <si>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</si>
  <si>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</si>
  <si>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</si>
  <si>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</si>
  <si>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</si>
  <si>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</si>
  <si>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</si>
  <si>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</si>
  <si>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</si>
  <si>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</si>
  <si>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</si>
  <si>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</si>
  <si>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</si>
  <si>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</si>
  <si>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</si>
  <si>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</si>
  <si>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</si>
  <si>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</si>
  <si>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</si>
  <si>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</si>
  <si>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</si>
  <si>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</si>
  <si>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</si>
  <si>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</si>
  <si>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</si>
  <si>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</si>
  <si>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</si>
  <si>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</si>
  <si>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</si>
  <si>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</si>
  <si>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</si>
  <si>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</si>
  <si>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</si>
  <si>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</si>
  <si>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</si>
  <si>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</si>
  <si>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</si>
  <si>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</si>
  <si>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</si>
  <si>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</si>
  <si>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</si>
  <si>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</si>
  <si>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</si>
  <si>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</si>
  <si>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</si>
  <si>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</si>
  <si>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</si>
  <si>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</si>
  <si>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</si>
  <si>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</si>
  <si>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</si>
  <si>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</si>
  <si>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</si>
  <si>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</si>
  <si>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</si>
  <si>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</si>
  <si>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</si>
  <si>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</si>
  <si>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</si>
  <si>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</si>
  <si>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</si>
  <si>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</si>
  <si>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</si>
  <si>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</si>
  <si>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</si>
  <si>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</si>
  <si>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</si>
  <si>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</si>
  <si>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</si>
  <si>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</si>
  <si>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</si>
  <si>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</si>
  <si>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</si>
  <si>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</si>
  <si>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</si>
  <si>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</si>
  <si>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</si>
  <si>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</si>
  <si>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</si>
  <si>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</si>
  <si>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</si>
  <si>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</si>
  <si>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</si>
  <si>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</si>
  <si>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</si>
  <si>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</si>
  <si>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</si>
  <si>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</si>
  <si>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</si>
  <si>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</si>
  <si>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</si>
  <si>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</si>
  <si>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</si>
  <si>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</si>
  <si>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</si>
  <si>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</si>
  <si>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</si>
  <si>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</si>
  <si>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</si>
  <si>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</si>
  <si>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</si>
  <si>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</si>
  <si>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</si>
  <si>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</si>
  <si>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</si>
  <si>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</si>
  <si>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</si>
  <si>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</si>
  <si>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</si>
  <si>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</si>
  <si>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</si>
  <si>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</si>
  <si>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</si>
  <si>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</si>
  <si>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</si>
  <si>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</si>
  <si>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</si>
  <si>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</si>
  <si>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</si>
  <si>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</si>
  <si>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</si>
  <si>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</si>
  <si>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</si>
  <si>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</si>
  <si>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</si>
  <si>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</si>
  <si>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</si>
  <si>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</si>
  <si>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</si>
  <si>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</si>
  <si>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</si>
  <si>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</si>
  <si>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</si>
  <si>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</si>
  <si>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</si>
  <si>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</si>
  <si>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</si>
  <si>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</si>
  <si>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</si>
  <si>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</si>
  <si>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</si>
  <si>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</si>
  <si>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</si>
  <si>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</si>
  <si>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</si>
  <si>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</si>
  <si>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</si>
  <si>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</si>
  <si>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</si>
  <si>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</si>
  <si>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</si>
  <si>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</si>
  <si>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</si>
  <si>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</si>
  <si>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</si>
  <si>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</si>
  <si>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</si>
  <si>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</si>
  <si>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</si>
  <si>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</si>
  <si>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</si>
  <si>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</si>
  <si>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</si>
  <si>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</si>
  <si>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</si>
  <si>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</si>
  <si>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</si>
  <si>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</si>
  <si>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</si>
  <si>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</si>
  <si>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</si>
  <si>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</si>
  <si>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</si>
  <si>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</si>
  <si>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</si>
  <si>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</si>
  <si>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</si>
  <si>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</si>
  <si>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</si>
  <si>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</si>
  <si>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</si>
  <si>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</si>
  <si>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</si>
  <si>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</si>
  <si>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</si>
  <si>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</si>
  <si>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</si>
  <si>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</si>
  <si>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</si>
  <si>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</si>
  <si>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</si>
  <si>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</si>
  <si>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</si>
  <si>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</si>
  <si>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</si>
  <si>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</si>
  <si>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</si>
  <si>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</si>
  <si>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</si>
  <si>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</si>
  <si>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</si>
  <si>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</si>
  <si>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</si>
  <si>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</si>
  <si>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</si>
  <si>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</si>
  <si>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</si>
  <si>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</si>
  <si>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</si>
  <si>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</si>
  <si>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</si>
  <si>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</si>
  <si>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</si>
  <si>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</si>
  <si>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</si>
  <si>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</si>
  <si>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</si>
  <si>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</si>
  <si>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</si>
  <si>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</si>
  <si>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</si>
  <si>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</si>
  <si>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</si>
  <si>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</si>
  <si>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</si>
  <si>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</si>
  <si>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</si>
  <si>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</si>
  <si>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</si>
  <si>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</si>
  <si>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</si>
  <si>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</si>
  <si>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</si>
  <si>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</si>
  <si>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</si>
  <si>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</si>
  <si>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</si>
  <si>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</si>
  <si>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</si>
  <si>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</si>
  <si>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</si>
  <si>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</si>
  <si>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</si>
  <si>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</si>
  <si>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</si>
  <si>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</si>
  <si>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</si>
  <si>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</si>
  <si>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</si>
  <si>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</si>
  <si>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</si>
  <si>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</si>
  <si>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</si>
  <si>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</si>
  <si>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</si>
  <si>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</si>
  <si>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</si>
  <si>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</si>
  <si>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</si>
  <si>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</si>
  <si>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</si>
  <si>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</si>
  <si>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</si>
  <si>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</si>
  <si>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</si>
  <si>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</si>
  <si>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</si>
  <si>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</si>
  <si>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</si>
  <si>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</si>
  <si>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</si>
  <si>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</si>
  <si>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</si>
  <si>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</si>
  <si>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</si>
  <si>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</si>
  <si>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</si>
  <si>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</si>
  <si>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</si>
  <si>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</si>
  <si>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</si>
  <si>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</si>
  <si>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</si>
  <si>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</si>
  <si>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</si>
  <si>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</si>
  <si>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</si>
  <si>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</si>
  <si>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</si>
  <si>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</si>
  <si>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</si>
  <si>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</si>
  <si>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</si>
  <si>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</si>
  <si>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</si>
  <si>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</si>
  <si>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</si>
  <si>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</si>
  <si>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</si>
  <si>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</si>
  <si>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</si>
  <si>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</si>
  <si>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</si>
  <si>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</si>
  <si>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</si>
  <si>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</si>
  <si>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</si>
  <si>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</si>
  <si>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</si>
  <si>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</si>
  <si>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</si>
  <si>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</si>
  <si>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</si>
  <si>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</si>
  <si>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</si>
  <si>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</si>
  <si>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</si>
  <si>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</si>
  <si>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</si>
  <si>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</si>
  <si>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</si>
  <si>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</si>
  <si>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</si>
  <si>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</si>
  <si>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</si>
  <si>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</si>
  <si>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</si>
  <si>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</si>
  <si>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</si>
  <si>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</si>
  <si>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</si>
  <si>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</si>
  <si>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</si>
  <si>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</si>
  <si>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</si>
  <si>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</si>
  <si>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</si>
  <si>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</si>
  <si>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</si>
  <si>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</si>
  <si>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</si>
  <si>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</si>
  <si>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</si>
  <si>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</si>
  <si>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</si>
  <si>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</si>
  <si>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</si>
  <si>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</si>
  <si>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</si>
  <si>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</si>
  <si>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</si>
  <si>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</si>
  <si>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</si>
  <si>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</si>
  <si>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</si>
  <si>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</si>
  <si>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</si>
  <si>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</si>
  <si>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</si>
  <si>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</si>
  <si>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</si>
  <si>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</si>
  <si>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</si>
  <si>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</si>
  <si>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</si>
  <si>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</si>
  <si>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</si>
  <si>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</si>
  <si>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</si>
  <si>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</si>
  <si>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</si>
  <si>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</si>
  <si>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</si>
  <si>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</si>
  <si>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</si>
  <si>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</si>
  <si>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</si>
  <si>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</si>
  <si>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</si>
  <si>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</si>
  <si>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</si>
  <si>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</si>
  <si>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</si>
  <si>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</si>
  <si>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</si>
  <si>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</si>
  <si>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</si>
  <si>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</si>
  <si>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</si>
  <si>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</si>
  <si>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</si>
  <si>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</si>
  <si>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</si>
  <si>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</si>
  <si>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</si>
  <si>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</si>
  <si>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</si>
  <si>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</si>
  <si>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</si>
  <si>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</si>
  <si>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</si>
  <si>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</si>
  <si>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</si>
  <si>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</si>
  <si>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</si>
  <si>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</si>
  <si>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</si>
  <si>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</si>
  <si>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</si>
  <si>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</si>
  <si>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</si>
  <si>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</si>
  <si>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</si>
  <si>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</si>
  <si>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</si>
  <si>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</si>
  <si>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</si>
  <si>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</si>
  <si>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</si>
  <si>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</si>
  <si>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</si>
  <si>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</si>
  <si>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</si>
  <si>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</si>
  <si>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</si>
  <si>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</si>
  <si>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</si>
  <si>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</si>
  <si>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</si>
  <si>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</si>
  <si>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</si>
  <si>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</si>
  <si>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</si>
  <si>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</si>
  <si>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</si>
  <si>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</si>
  <si>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</si>
  <si>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</si>
  <si>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</si>
  <si>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</si>
  <si>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</si>
  <si>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</si>
  <si>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</si>
  <si>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</si>
  <si>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</si>
  <si>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</si>
  <si>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</si>
  <si>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</si>
  <si>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</si>
  <si>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</si>
  <si>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</si>
  <si>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</si>
  <si>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</si>
  <si>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</si>
  <si>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</si>
  <si>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</si>
  <si>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</si>
  <si>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</si>
  <si>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</si>
  <si>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</si>
  <si>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</si>
  <si>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</si>
  <si>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</si>
  <si>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</si>
  <si>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</si>
  <si>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</si>
  <si>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</si>
  <si>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</si>
  <si>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</si>
  <si>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</si>
  <si>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</si>
  <si>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</si>
  <si>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</si>
  <si>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</si>
  <si>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</si>
  <si>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</si>
  <si>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</si>
  <si>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</si>
  <si>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</si>
  <si>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</si>
  <si>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</si>
  <si>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</si>
  <si>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</si>
  <si>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</si>
  <si>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</si>
  <si>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</si>
  <si>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</si>
  <si>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</si>
  <si>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</si>
  <si>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</si>
  <si>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</si>
  <si>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</si>
  <si>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</si>
  <si>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</si>
  <si>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</si>
  <si>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</si>
  <si>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</si>
  <si>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</si>
  <si>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</si>
  <si>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</si>
  <si>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</si>
  <si>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</si>
  <si>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</si>
  <si>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</si>
  <si>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</si>
  <si>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</si>
  <si>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</si>
  <si>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</si>
  <si>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</si>
  <si>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</si>
  <si>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</si>
  <si>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</si>
  <si>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</si>
  <si>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</si>
  <si>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</si>
  <si>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</si>
  <si>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</si>
  <si>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</si>
  <si>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</si>
  <si>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</si>
  <si>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</si>
  <si>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</si>
  <si>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</si>
  <si>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</si>
  <si>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</si>
  <si>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</si>
  <si>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</si>
  <si>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</si>
  <si>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</si>
  <si>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</si>
  <si>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</si>
  <si>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</si>
  <si>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</si>
  <si>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</si>
  <si>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</si>
  <si>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</si>
  <si>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</si>
  <si>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</si>
  <si>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</si>
  <si>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</si>
  <si>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</si>
  <si>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</si>
  <si>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</si>
  <si>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</si>
  <si>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</si>
  <si>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</si>
  <si>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</si>
  <si>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</si>
  <si>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</si>
  <si>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</si>
  <si>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</si>
  <si>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</si>
  <si>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</si>
  <si>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</si>
  <si>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</si>
  <si>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</si>
  <si>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</si>
  <si>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</si>
  <si>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</si>
  <si>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</si>
  <si>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</si>
  <si>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</si>
  <si>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</si>
  <si>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</si>
  <si>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</si>
  <si>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</si>
  <si>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</si>
  <si>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</si>
  <si>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</si>
  <si>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</si>
  <si>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</si>
  <si>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</si>
  <si>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</si>
  <si>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</si>
  <si>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</si>
  <si>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</si>
  <si>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</si>
  <si>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</si>
  <si>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</si>
  <si>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</si>
  <si>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</si>
  <si>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</si>
  <si>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</si>
  <si>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</si>
  <si>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</si>
  <si>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</si>
  <si>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</si>
  <si>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</si>
  <si>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</si>
  <si>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</si>
  <si>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</si>
  <si>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</si>
  <si>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</si>
  <si>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</si>
  <si>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</si>
  <si>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</si>
  <si>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</si>
  <si>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</si>
  <si>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</si>
  <si>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</si>
  <si>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</si>
  <si>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</si>
  <si>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</si>
  <si>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</si>
  <si>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</si>
  <si>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</si>
  <si>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</si>
  <si>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</si>
  <si>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</si>
  <si>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</si>
  <si>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</si>
  <si>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</si>
  <si>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</si>
  <si>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</si>
  <si>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</si>
  <si>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</si>
  <si>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</si>
  <si>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</si>
  <si>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</si>
  <si>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</si>
  <si>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</si>
  <si>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</si>
  <si>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</si>
  <si>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</si>
  <si>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</si>
  <si>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</si>
  <si>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</si>
  <si>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</si>
  <si>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</si>
  <si>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</si>
  <si>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</si>
  <si>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</si>
  <si>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</si>
  <si>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</si>
  <si>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</si>
  <si>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</si>
  <si>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</si>
  <si>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</si>
  <si>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</si>
  <si>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</si>
  <si>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</si>
  <si>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</si>
  <si>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</si>
  <si>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</si>
  <si>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</si>
  <si>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</si>
  <si>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</si>
  <si>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</si>
  <si>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</si>
  <si>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</si>
  <si>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</si>
  <si>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</si>
  <si>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</si>
  <si>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</si>
  <si>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</si>
  <si>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</si>
  <si>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</si>
  <si>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</si>
  <si>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</si>
  <si>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</si>
  <si>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</si>
  <si>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</si>
  <si>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</si>
  <si>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</si>
  <si>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</si>
  <si>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</si>
  <si>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</si>
  <si>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</si>
  <si>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</si>
  <si>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</si>
  <si>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</si>
  <si>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</si>
  <si>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</si>
  <si>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</si>
  <si>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</si>
  <si>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</si>
  <si>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</si>
  <si>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</si>
  <si>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</si>
  <si>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</si>
  <si>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</si>
  <si>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</si>
  <si>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</si>
  <si>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</si>
  <si>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</si>
  <si>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</si>
  <si>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</si>
  <si>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</si>
  <si>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</si>
  <si>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</si>
  <si>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</si>
  <si>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</si>
  <si>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</si>
  <si>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</si>
  <si>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</si>
  <si>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</si>
  <si>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</si>
  <si>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</si>
  <si>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</si>
  <si>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</si>
  <si>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</si>
  <si>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</si>
  <si>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</si>
  <si>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</si>
  <si>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</si>
  <si>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</si>
  <si>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</si>
  <si>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</si>
  <si>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</si>
  <si>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</si>
  <si>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</si>
  <si>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</si>
  <si>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</si>
  <si>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</si>
  <si>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</si>
  <si>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</si>
  <si>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</si>
  <si>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</si>
  <si>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</si>
  <si>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</si>
  <si>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</si>
  <si>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</si>
  <si>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</si>
  <si>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</si>
  <si>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</si>
  <si>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</si>
  <si>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</si>
  <si>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</si>
  <si>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</si>
  <si>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</si>
  <si>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</si>
  <si>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</si>
  <si>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</si>
  <si>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</si>
  <si>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</si>
  <si>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</si>
  <si>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</si>
  <si>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</si>
  <si>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</si>
  <si>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</si>
  <si>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</si>
  <si>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</si>
  <si>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</si>
  <si>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</si>
  <si>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</si>
  <si>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</si>
  <si>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</si>
  <si>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</si>
  <si>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</si>
  <si>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</si>
  <si>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</si>
  <si>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</si>
  <si>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</si>
  <si>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</si>
  <si>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</si>
  <si>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</si>
  <si>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</si>
  <si>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</si>
  <si>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</si>
  <si>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</si>
  <si>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</si>
  <si>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</si>
  <si>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</si>
  <si>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</si>
  <si>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</si>
  <si>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</si>
  <si>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</si>
  <si>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</si>
  <si>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</si>
  <si>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</si>
  <si>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</si>
  <si>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</si>
  <si>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</si>
  <si>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</si>
  <si>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</si>
  <si>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</si>
  <si>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</si>
  <si>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</si>
  <si>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</si>
  <si>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</si>
  <si>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</si>
  <si>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</si>
  <si>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</si>
  <si>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</si>
  <si>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</si>
  <si>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</si>
  <si>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</si>
  <si>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</si>
  <si>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</si>
  <si>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</si>
  <si>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</si>
  <si>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</si>
  <si>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</si>
  <si>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</si>
  <si>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</si>
  <si>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</si>
  <si>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</si>
  <si>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</si>
  <si>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</si>
  <si>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</si>
  <si>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</si>
  <si>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</si>
  <si>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</si>
  <si>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</si>
  <si>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</si>
  <si>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</si>
  <si>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</si>
  <si>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</si>
  <si>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</si>
  <si>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</si>
  <si>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</si>
  <si>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</si>
  <si>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</si>
  <si>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</si>
  <si>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</si>
  <si>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</si>
  <si>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</si>
  <si>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</si>
  <si>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</si>
  <si>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</si>
  <si>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</si>
  <si>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</si>
  <si>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</si>
  <si>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</si>
  <si>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</si>
  <si>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</si>
  <si>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</si>
  <si>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</si>
  <si>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</si>
  <si>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</si>
  <si>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</si>
  <si>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</si>
  <si>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</si>
  <si>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</si>
  <si>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</si>
  <si>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</si>
  <si>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</si>
  <si>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</si>
  <si>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</si>
  <si>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</si>
  <si>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</si>
  <si>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</si>
  <si>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</si>
  <si>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</si>
  <si>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</si>
  <si>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</si>
  <si>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</si>
  <si>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</si>
  <si>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</si>
  <si>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</si>
  <si>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</si>
  <si>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</si>
  <si>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</si>
  <si>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</si>
  <si>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</si>
  <si>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</si>
  <si>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</si>
  <si>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</si>
  <si>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</si>
  <si>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</si>
  <si>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</si>
  <si>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</si>
  <si>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</si>
  <si>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</si>
  <si>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</si>
  <si>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</si>
  <si>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</si>
  <si>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</si>
  <si>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</si>
  <si>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</si>
  <si>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</si>
  <si>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</si>
  <si>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</si>
  <si>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</si>
  <si>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</si>
  <si>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</si>
  <si>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</si>
  <si>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</si>
  <si>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</si>
  <si>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</si>
  <si>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</si>
  <si>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</si>
  <si>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</si>
  <si>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</si>
  <si>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</si>
  <si>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</si>
  <si>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</si>
  <si>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</si>
  <si>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</si>
  <si>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</si>
  <si>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</si>
  <si>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</si>
  <si>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</si>
  <si>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</si>
  <si>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</si>
  <si>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</si>
  <si>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</si>
  <si>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</si>
  <si>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</si>
  <si>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</si>
  <si>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</si>
  <si>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</si>
  <si>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</si>
  <si>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</si>
  <si>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</si>
  <si>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</si>
  <si>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</si>
  <si>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</si>
  <si>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</si>
  <si>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</si>
  <si>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</si>
  <si>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</si>
  <si>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</si>
  <si>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</si>
  <si>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</si>
  <si>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</si>
  <si>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</si>
  <si>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</si>
  <si>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</si>
  <si>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</si>
  <si>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</si>
  <si>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</si>
  <si>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</si>
  <si>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</si>
  <si>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</si>
  <si>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</si>
  <si>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</si>
  <si>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</si>
  <si>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</si>
  <si>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</si>
  <si>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</si>
  <si>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</si>
  <si>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</si>
  <si>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</si>
  <si>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</si>
  <si>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</si>
  <si>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</si>
  <si>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</si>
  <si>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</si>
  <si>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</si>
  <si>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</si>
  <si>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</si>
  <si>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</si>
  <si>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</si>
  <si>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</si>
  <si>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</si>
  <si>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</si>
  <si>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</si>
  <si>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</si>
  <si>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</si>
  <si>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</si>
  <si>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</si>
  <si>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</si>
  <si>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</si>
  <si>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</si>
  <si>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</si>
  <si>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</si>
  <si>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</si>
  <si>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</si>
  <si>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</si>
  <si>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</si>
  <si>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</si>
  <si>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</si>
  <si>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</si>
  <si>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</si>
  <si>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</si>
  <si>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</si>
  <si>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</si>
  <si>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</si>
  <si>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</si>
  <si>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</si>
  <si>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</si>
  <si>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</si>
  <si>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</si>
  <si>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</si>
  <si>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</si>
  <si>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</si>
  <si>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</si>
  <si>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</si>
  <si>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</si>
  <si>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</si>
  <si>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</si>
  <si>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</si>
  <si>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</si>
  <si>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</si>
  <si>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</si>
  <si>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</si>
  <si>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</si>
  <si>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</si>
  <si>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</si>
  <si>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</si>
  <si>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</si>
  <si>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</si>
  <si>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</si>
  <si>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</si>
  <si>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</si>
  <si>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</si>
  <si>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</si>
  <si>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</si>
  <si>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</si>
  <si>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</si>
  <si>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</si>
  <si>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</si>
  <si>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</si>
  <si>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</si>
  <si>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</si>
  <si>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</si>
  <si>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</si>
  <si>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</si>
  <si>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</si>
  <si>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</si>
  <si>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</si>
  <si>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</si>
  <si>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</si>
  <si>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</si>
  <si>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</si>
  <si>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</si>
  <si>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</si>
  <si>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</si>
  <si>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</si>
  <si>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</si>
  <si>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</si>
  <si>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</si>
  <si>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</si>
  <si>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</si>
  <si>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</si>
  <si>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</si>
  <si>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</si>
  <si>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</si>
  <si>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</si>
  <si>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</si>
  <si>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</si>
  <si>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</si>
  <si>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</si>
  <si>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</si>
  <si>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</si>
  <si>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</si>
  <si>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</si>
  <si>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</si>
  <si>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</si>
  <si>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</si>
  <si>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</si>
  <si>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</si>
  <si>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</si>
  <si>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</si>
  <si>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</si>
  <si>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</si>
  <si>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</si>
  <si>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</si>
  <si>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</si>
  <si>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</si>
  <si>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</si>
  <si>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</si>
  <si>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</si>
  <si>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</si>
  <si>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</si>
  <si>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</si>
  <si>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</si>
  <si>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</si>
  <si>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</si>
  <si>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</si>
  <si>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</si>
  <si>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</si>
  <si>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</si>
  <si>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</si>
  <si>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</si>
  <si>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</si>
  <si>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</si>
  <si>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</si>
  <si>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</si>
  <si>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</si>
  <si>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</si>
  <si>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</si>
  <si>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</si>
  <si>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</si>
  <si>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</si>
  <si>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</si>
  <si>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</si>
  <si>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</si>
  <si>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</si>
  <si>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</si>
  <si>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</si>
  <si>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</si>
  <si>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</si>
  <si>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</si>
  <si>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</si>
  <si>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</si>
  <si>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</si>
  <si>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</si>
  <si>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</si>
  <si>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</si>
  <si>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</si>
  <si>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</si>
  <si>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</si>
  <si>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</si>
  <si>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</si>
  <si>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</si>
  <si>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</si>
  <si>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</si>
  <si>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</si>
  <si>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</si>
  <si>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</si>
  <si>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</si>
  <si>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</si>
  <si>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</si>
  <si>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</si>
  <si>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</si>
  <si>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</si>
  <si>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</si>
  <si>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</si>
  <si>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</si>
  <si>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</si>
  <si>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</si>
  <si>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</si>
  <si>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</si>
  <si>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</si>
  <si>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</si>
  <si>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</si>
  <si>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</si>
  <si>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</si>
  <si>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</si>
  <si>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</si>
  <si>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</si>
  <si>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</si>
  <si>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</si>
  <si>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</si>
  <si>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</si>
  <si>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</si>
  <si>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</si>
  <si>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</si>
  <si>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</si>
  <si>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</si>
  <si>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</si>
  <si>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</si>
  <si>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</si>
  <si>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</si>
  <si>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</si>
  <si>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</si>
  <si>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</si>
  <si>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</si>
  <si>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</si>
  <si>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</si>
  <si>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</si>
  <si>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</si>
  <si>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</si>
  <si>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</si>
  <si>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</si>
  <si>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</si>
  <si>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</si>
  <si>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</si>
  <si>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</si>
  <si>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</si>
  <si>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</si>
  <si>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</si>
  <si>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</si>
  <si>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</si>
  <si>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</si>
  <si>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</si>
  <si>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</si>
  <si>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</si>
  <si>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</si>
  <si>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</si>
  <si>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</si>
  <si>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</si>
  <si>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</si>
  <si>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</si>
  <si>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</si>
  <si>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</si>
  <si>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</si>
  <si>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</si>
  <si>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</si>
  <si>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</si>
  <si>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</si>
  <si>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</si>
  <si>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</si>
  <si>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</si>
  <si>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</si>
  <si>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</si>
  <si>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</si>
  <si>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</si>
  <si>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</si>
  <si>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</si>
  <si>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</si>
  <si>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</si>
  <si>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</si>
  <si>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</si>
  <si>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</si>
  <si>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</si>
  <si>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</si>
  <si>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</si>
  <si>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</si>
  <si>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</si>
  <si>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</si>
  <si>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</si>
  <si>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</si>
  <si>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</si>
  <si>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</si>
  <si>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</si>
  <si>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</si>
  <si>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</si>
  <si>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</si>
  <si>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</si>
  <si>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</si>
  <si>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</si>
  <si>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</si>
  <si>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</si>
  <si>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</si>
  <si>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</si>
  <si>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</si>
  <si>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</si>
  <si>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</si>
  <si>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</si>
  <si>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</si>
  <si>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</si>
  <si>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</si>
  <si>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</si>
  <si>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</si>
  <si>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</si>
  <si>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</si>
  <si>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</si>
  <si>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</si>
  <si>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</si>
  <si>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</si>
  <si>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</si>
  <si>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</si>
  <si>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</si>
  <si>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</si>
  <si>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</si>
  <si>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</si>
  <si>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</si>
  <si>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</si>
  <si>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</si>
  <si>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</si>
  <si>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</si>
  <si>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</si>
  <si>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</si>
  <si>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</si>
  <si>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</si>
  <si>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</si>
  <si>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</si>
  <si>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</si>
  <si>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</si>
  <si>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</si>
  <si>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</si>
  <si>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</si>
  <si>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</si>
  <si>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</si>
  <si>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</si>
  <si>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</si>
  <si>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</si>
  <si>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</si>
  <si>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</si>
  <si>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</si>
  <si>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</si>
  <si>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</si>
  <si>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</si>
  <si>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</si>
  <si>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</si>
  <si>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</si>
  <si>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</si>
  <si>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</si>
  <si>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</si>
  <si>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</si>
  <si>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</si>
  <si>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</si>
  <si>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</si>
  <si>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</si>
  <si>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</si>
  <si>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</si>
  <si>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</si>
  <si>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</si>
  <si>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</si>
  <si>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</si>
  <si>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</si>
  <si>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</si>
  <si>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</si>
  <si>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</si>
  <si>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</si>
  <si>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</si>
  <si>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</si>
  <si>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</si>
  <si>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</si>
  <si>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</si>
  <si>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</si>
  <si>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</si>
  <si>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</si>
  <si>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</si>
  <si>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</si>
  <si>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</si>
  <si>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</si>
  <si>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</si>
  <si>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</si>
  <si>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</si>
  <si>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</si>
  <si>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</si>
  <si>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</si>
  <si>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</si>
  <si>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</si>
  <si>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</si>
  <si>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</si>
  <si>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</si>
  <si>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</si>
  <si>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</si>
  <si>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</si>
  <si>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</si>
  <si>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</si>
  <si>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</si>
  <si>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</si>
  <si>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</si>
  <si>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</si>
  <si>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</si>
  <si>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</si>
  <si>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</si>
  <si>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</si>
  <si>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</si>
  <si>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</si>
  <si>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</si>
  <si>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</si>
  <si>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</si>
  <si>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</si>
  <si>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</si>
  <si>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</si>
  <si>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</si>
  <si>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</si>
  <si>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</si>
  <si>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</si>
  <si>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</si>
  <si>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</si>
  <si>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</si>
  <si>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</si>
  <si>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</si>
  <si>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</si>
  <si>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</si>
  <si>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</si>
  <si>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</si>
  <si>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</si>
  <si>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</si>
  <si>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</si>
  <si>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</si>
  <si>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</si>
  <si>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</si>
  <si>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</si>
  <si>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</si>
  <si>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</si>
  <si>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</si>
  <si>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</si>
  <si>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</si>
  <si>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</si>
  <si>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</si>
  <si>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</si>
  <si>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</si>
  <si>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</si>
  <si>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</si>
  <si>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</si>
  <si>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</si>
  <si>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</si>
  <si>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</si>
  <si>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</si>
  <si>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</si>
  <si>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</si>
  <si>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</si>
  <si>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</si>
  <si>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</si>
  <si>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</si>
  <si>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</si>
  <si>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</si>
  <si>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</si>
  <si>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</si>
  <si>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</si>
  <si>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</si>
  <si>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</si>
  <si>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</si>
  <si>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</si>
  <si>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</si>
  <si>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</si>
  <si>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</si>
  <si>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</si>
  <si>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</si>
  <si>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</si>
  <si>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</si>
  <si>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</si>
  <si>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</si>
  <si>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</si>
  <si>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</si>
  <si>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</si>
  <si>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</si>
  <si>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</si>
  <si>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</si>
  <si>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</si>
  <si>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</si>
  <si>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</si>
  <si>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</si>
  <si>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</si>
  <si>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</si>
  <si>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</si>
  <si>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</si>
  <si>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</si>
  <si>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</si>
  <si>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</si>
  <si>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</si>
  <si>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</si>
  <si>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</si>
  <si>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</si>
  <si>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</si>
  <si>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</si>
  <si>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</si>
  <si>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</si>
  <si>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</si>
  <si>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</si>
  <si>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</si>
  <si>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</si>
  <si>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</si>
  <si>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</si>
  <si>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</si>
  <si>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</si>
  <si>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</si>
  <si>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</si>
  <si>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</si>
  <si>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</si>
  <si>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</si>
  <si>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</si>
  <si>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</si>
  <si>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</si>
  <si>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</si>
  <si>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</si>
  <si>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</si>
  <si>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</si>
  <si>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</si>
  <si>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</si>
  <si>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</si>
  <si>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</si>
  <si>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</si>
  <si>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</si>
  <si>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</si>
  <si>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</si>
  <si>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</si>
  <si>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</si>
  <si>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</si>
  <si>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</si>
  <si>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</si>
  <si>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</si>
  <si>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</si>
  <si>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</si>
  <si>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</si>
  <si>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</si>
  <si>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</si>
  <si>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</si>
  <si>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</si>
  <si>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</si>
  <si>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</si>
  <si>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</si>
  <si>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</si>
  <si>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</si>
  <si>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</si>
  <si>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</si>
  <si>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</si>
  <si>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</si>
  <si>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</si>
  <si>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</si>
  <si>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</si>
  <si>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</si>
  <si>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</si>
  <si>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</si>
  <si>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</si>
  <si>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</si>
  <si>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</si>
  <si>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</si>
  <si>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</si>
  <si>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</si>
  <si>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</si>
  <si>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</si>
  <si>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</si>
  <si>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</si>
  <si>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</si>
  <si>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</si>
  <si>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</si>
  <si>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</si>
  <si>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</si>
  <si>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</si>
  <si>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</si>
  <si>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</si>
  <si>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</si>
  <si>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</si>
  <si>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</si>
  <si>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</si>
  <si>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</si>
  <si>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</si>
  <si>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</si>
  <si>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</si>
  <si>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</si>
  <si>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</si>
  <si>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</si>
  <si>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</si>
  <si>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</si>
  <si>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</si>
  <si>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</si>
  <si>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</si>
  <si>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</si>
  <si>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</si>
  <si>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</si>
  <si>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</si>
  <si>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</si>
  <si>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</si>
  <si>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</si>
  <si>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</si>
  <si>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</si>
  <si>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</si>
  <si>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</si>
  <si>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</si>
  <si>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</si>
  <si>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</si>
  <si>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</si>
  <si>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</si>
  <si>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</si>
  <si>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</si>
  <si>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</si>
  <si>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</si>
  <si>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</si>
  <si>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</si>
  <si>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</si>
  <si>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</si>
  <si>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</si>
  <si>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</si>
  <si>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</si>
  <si>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</si>
  <si>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</si>
  <si>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</si>
  <si>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</si>
  <si>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</si>
  <si>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</si>
  <si>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</si>
  <si>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</si>
  <si>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</si>
  <si>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</si>
  <si>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</si>
  <si>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</si>
  <si>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</si>
  <si>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</si>
  <si>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</si>
  <si>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</si>
  <si>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</si>
  <si>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</si>
  <si>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</si>
  <si>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</si>
  <si>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</si>
  <si>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</si>
  <si>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</si>
  <si>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</si>
  <si>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</si>
  <si>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</si>
  <si>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</si>
  <si>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</si>
  <si>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</si>
  <si>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</si>
  <si>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</si>
  <si>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</si>
  <si>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</si>
  <si>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</si>
  <si>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</si>
  <si>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</si>
  <si>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</si>
  <si>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</si>
  <si>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</si>
  <si>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</si>
  <si>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</si>
  <si>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</si>
  <si>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</si>
  <si>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</si>
  <si>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</si>
  <si>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</si>
  <si>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</si>
  <si>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</si>
  <si>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</si>
  <si>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</si>
  <si>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</si>
  <si>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</si>
  <si>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</si>
  <si>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</si>
  <si>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</si>
  <si>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</si>
  <si>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</si>
  <si>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</si>
  <si>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</si>
  <si>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</si>
  <si>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</si>
  <si>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</si>
  <si>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</si>
  <si>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</si>
  <si>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</si>
  <si>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</si>
  <si>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</si>
  <si>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</si>
  <si>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</si>
  <si>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</si>
  <si>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</si>
  <si>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</si>
  <si>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</si>
  <si>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</si>
  <si>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</si>
  <si>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</si>
  <si>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</si>
  <si>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</si>
  <si>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</si>
  <si>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</si>
  <si>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</si>
  <si>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</si>
  <si>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</si>
  <si>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</si>
  <si>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</si>
  <si>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</si>
  <si>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</si>
  <si>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</si>
  <si>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</si>
  <si>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</si>
  <si>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</si>
  <si>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</si>
  <si>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</si>
  <si>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</si>
  <si>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</si>
  <si>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</si>
  <si>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</si>
  <si>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</si>
  <si>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</si>
  <si>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</si>
  <si>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</si>
  <si>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</si>
  <si>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</si>
  <si>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</si>
  <si>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</si>
  <si>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</si>
  <si>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</si>
  <si>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</si>
  <si>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</si>
  <si>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</si>
  <si>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</si>
  <si>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</si>
  <si>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</si>
  <si>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</si>
  <si>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</si>
  <si>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</si>
  <si>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</si>
  <si>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</si>
  <si>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</si>
  <si>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</si>
  <si>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</si>
  <si>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</si>
  <si>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</si>
  <si>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</si>
  <si>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</si>
  <si>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</si>
  <si>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</si>
  <si>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</si>
  <si>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</si>
  <si>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</si>
  <si>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</si>
  <si>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</si>
  <si>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</si>
  <si>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</si>
  <si>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</si>
  <si>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</si>
  <si>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</si>
  <si>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</si>
  <si>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</si>
  <si>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</si>
  <si>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</si>
  <si>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</si>
  <si>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</si>
  <si>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</si>
  <si>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</si>
  <si>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</si>
  <si>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</si>
  <si>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</si>
  <si>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</si>
  <si>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</si>
  <si>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</si>
  <si>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</si>
  <si>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</si>
  <si>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</si>
  <si>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</si>
  <si>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</si>
  <si>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</si>
  <si>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</si>
  <si>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</si>
  <si>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</si>
  <si>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</si>
  <si>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</si>
  <si>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</si>
  <si>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</si>
  <si>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</si>
  <si>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</si>
  <si>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</si>
  <si>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</si>
  <si>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</si>
  <si>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</si>
  <si>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</si>
  <si>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</si>
  <si>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</si>
  <si>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</si>
  <si>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</si>
  <si>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</si>
  <si>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</si>
  <si>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</si>
  <si>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</si>
  <si>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</si>
  <si>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</si>
  <si>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</si>
  <si>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</si>
  <si>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</si>
  <si>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</si>
  <si>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</si>
  <si>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</si>
  <si>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</si>
  <si>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</si>
  <si>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</si>
  <si>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</si>
  <si>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</si>
  <si>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</si>
  <si>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</si>
  <si>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</si>
  <si>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</si>
  <si>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</si>
  <si>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</si>
  <si>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</si>
  <si>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</si>
  <si>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</si>
  <si>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</si>
  <si>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</si>
  <si>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</si>
  <si>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</si>
  <si>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</si>
  <si>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</si>
  <si>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</si>
  <si>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</si>
  <si>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</si>
  <si>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</si>
  <si>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</si>
  <si>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</si>
  <si>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</si>
  <si>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</si>
  <si>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</si>
  <si>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</si>
  <si>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</si>
  <si>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</si>
  <si>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</si>
  <si>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</si>
  <si>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</si>
  <si>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</si>
  <si>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</si>
  <si>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</si>
  <si>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</si>
  <si>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</si>
  <si>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</si>
  <si>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</si>
  <si>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</si>
  <si>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</si>
  <si>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</si>
  <si>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</si>
  <si>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</si>
  <si>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</si>
  <si>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</si>
  <si>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</si>
  <si>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</si>
  <si>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</si>
  <si>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</si>
  <si>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</si>
  <si>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</si>
  <si>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</si>
  <si>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</si>
  <si>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</si>
  <si>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</si>
  <si>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</si>
  <si>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</si>
  <si>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</si>
  <si>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</si>
  <si>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</si>
  <si>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</si>
  <si>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</si>
  <si>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</si>
  <si>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</si>
  <si>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</si>
  <si>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</si>
  <si>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</si>
  <si>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</si>
  <si>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</si>
  <si>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</si>
  <si>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</si>
  <si>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</si>
  <si>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</si>
  <si>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</si>
  <si>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</si>
  <si>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</si>
  <si>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</si>
  <si>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</si>
  <si>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</si>
  <si>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</si>
  <si>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</si>
  <si>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</si>
  <si>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</si>
  <si>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</si>
  <si>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</si>
  <si>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</si>
  <si>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</si>
  <si>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</si>
  <si>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</si>
  <si>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</si>
  <si>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</si>
  <si>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</si>
  <si>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</si>
  <si>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</si>
  <si>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</si>
  <si>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</si>
  <si>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</si>
  <si>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</si>
  <si>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</si>
  <si>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</si>
  <si>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</si>
  <si>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</si>
  <si>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</si>
  <si>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</si>
  <si>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</si>
  <si>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</si>
  <si>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</si>
  <si>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</si>
  <si>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</si>
  <si>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</si>
  <si>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</si>
  <si>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</si>
  <si>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</si>
  <si>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</si>
  <si>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</si>
  <si>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</si>
  <si>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</si>
  <si>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</si>
  <si>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</si>
  <si>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</si>
  <si>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</si>
  <si>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</si>
  <si>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</si>
  <si>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</si>
  <si>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</si>
  <si>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</si>
  <si>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</si>
  <si>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</si>
  <si>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</si>
  <si>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</si>
  <si>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</si>
  <si>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</si>
  <si>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</si>
  <si>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</si>
  <si>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</si>
  <si>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</si>
  <si>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</si>
  <si>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</si>
  <si>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</si>
  <si>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</si>
  <si>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</si>
  <si>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</si>
  <si>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</si>
  <si>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</si>
  <si>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</si>
  <si>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</si>
  <si>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</si>
  <si>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</si>
  <si>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</si>
  <si>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</si>
  <si>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</si>
  <si>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</si>
  <si>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</si>
  <si>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</si>
  <si>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</si>
  <si>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</si>
  <si>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</si>
  <si>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</si>
  <si>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</si>
  <si>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</si>
  <si>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</si>
  <si>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</si>
  <si>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</si>
  <si>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</si>
  <si>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</si>
  <si>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</si>
  <si>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</si>
  <si>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</si>
  <si>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</si>
  <si>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</si>
  <si>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</si>
  <si>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</si>
  <si>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</si>
  <si>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</si>
  <si>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</si>
  <si>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</si>
  <si>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</si>
  <si>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</si>
  <si>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</si>
  <si>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</si>
  <si>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</si>
  <si>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</si>
  <si>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</si>
  <si>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</si>
  <si>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</si>
  <si>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</si>
  <si>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</si>
  <si>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</si>
  <si>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</si>
  <si>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</si>
  <si>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</si>
  <si>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</si>
  <si>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</si>
  <si>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</si>
  <si>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</si>
  <si>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</si>
  <si>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</si>
  <si>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</si>
  <si>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</si>
  <si>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</si>
  <si>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</si>
  <si>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</si>
  <si>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</si>
  <si>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</si>
  <si>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</si>
  <si>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</si>
  <si>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</si>
  <si>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</si>
  <si>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</si>
  <si>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</si>
  <si>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</si>
  <si>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</si>
  <si>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</si>
  <si>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</si>
  <si>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</si>
  <si>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</si>
  <si>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</si>
  <si>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</si>
  <si>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</si>
  <si>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</si>
  <si>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</si>
  <si>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</si>
  <si>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</si>
  <si>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</si>
  <si>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</si>
  <si>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</si>
  <si>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</si>
  <si>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</si>
  <si>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</si>
  <si>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</si>
  <si>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</si>
  <si>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</si>
  <si>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</si>
  <si>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</si>
  <si>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</si>
  <si>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</si>
  <si>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</si>
  <si>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</si>
  <si>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</si>
  <si>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</si>
  <si>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</si>
  <si>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</si>
  <si>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</si>
  <si>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</si>
  <si>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</si>
  <si>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</si>
  <si>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</si>
  <si>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</si>
  <si>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</si>
  <si>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</si>
  <si>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</si>
  <si>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</si>
  <si>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</si>
  <si>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</si>
  <si>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</si>
  <si>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</si>
  <si>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</si>
  <si>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</si>
  <si>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</si>
  <si>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</si>
  <si>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</si>
  <si>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</si>
  <si>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</si>
  <si>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</si>
  <si>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</si>
  <si>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</si>
  <si>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</si>
  <si>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</si>
  <si>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</si>
  <si>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</si>
  <si>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</si>
  <si>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</si>
  <si>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</si>
  <si>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</si>
  <si>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</si>
  <si>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</si>
  <si>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</si>
  <si>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</si>
  <si>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</si>
  <si>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</si>
  <si>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</si>
  <si>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</si>
  <si>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</si>
  <si>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</si>
  <si>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</si>
  <si>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</si>
  <si>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</si>
  <si>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</si>
  <si>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</si>
  <si>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</si>
  <si>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</si>
  <si>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</si>
  <si>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</si>
  <si>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</si>
  <si>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</si>
  <si>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</si>
  <si>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</si>
  <si>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</si>
  <si>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</si>
  <si>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</si>
  <si>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</si>
  <si>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</si>
  <si>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</si>
  <si>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</si>
  <si>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</si>
  <si>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</si>
  <si>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</si>
  <si>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</si>
  <si>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</si>
  <si>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</si>
  <si>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</si>
  <si>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</si>
  <si>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</si>
  <si>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</si>
  <si>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</si>
  <si>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</si>
  <si>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</si>
  <si>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</si>
  <si>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</si>
  <si>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</si>
  <si>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</si>
  <si>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</si>
  <si>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</si>
  <si>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</si>
  <si>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</si>
  <si>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</si>
  <si>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</si>
  <si>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</si>
  <si>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</si>
  <si>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</si>
  <si>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</si>
  <si>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</si>
  <si>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</si>
  <si>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</si>
  <si>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</si>
  <si>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</si>
  <si>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</si>
  <si>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</si>
  <si>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</si>
  <si>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</si>
  <si>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</si>
  <si>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</si>
  <si>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</si>
  <si>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</si>
  <si>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</si>
  <si>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</si>
  <si>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</si>
  <si>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</si>
  <si>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</si>
  <si>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</si>
  <si>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</si>
  <si>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</si>
  <si>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</si>
  <si>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</si>
  <si>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</si>
  <si>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</si>
  <si>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</si>
  <si>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</si>
  <si>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</si>
  <si>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</si>
  <si>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</si>
  <si>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</si>
  <si>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</si>
  <si>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</si>
  <si>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</si>
  <si>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</si>
  <si>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</si>
  <si>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</si>
  <si>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</si>
  <si>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</si>
  <si>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</si>
  <si>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</si>
  <si>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</si>
  <si>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</si>
  <si>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</si>
  <si>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</si>
  <si>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</si>
  <si>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</si>
  <si>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</si>
  <si>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</si>
  <si>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</si>
  <si>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</si>
  <si>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</si>
  <si>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</si>
  <si>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</si>
  <si>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</si>
  <si>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</si>
  <si>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</si>
  <si>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</si>
  <si>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</si>
  <si>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</si>
  <si>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</si>
  <si>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</si>
  <si>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</si>
  <si>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</si>
  <si>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</si>
  <si>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</si>
  <si>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</si>
  <si>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</si>
  <si>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</si>
  <si>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</si>
  <si>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</si>
  <si>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</si>
  <si>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</si>
  <si>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</si>
  <si>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</si>
  <si>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</si>
  <si>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</si>
  <si>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</si>
  <si>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</si>
  <si>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</si>
  <si>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</si>
  <si>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</si>
  <si>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</si>
  <si>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</si>
  <si>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</si>
  <si>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</si>
  <si>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</si>
  <si>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</si>
  <si>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</si>
  <si>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</si>
  <si>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</si>
  <si>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</si>
  <si>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</si>
  <si>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</si>
  <si>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</si>
  <si>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</si>
  <si>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</si>
  <si>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</si>
  <si>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</si>
  <si>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</si>
  <si>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</si>
  <si>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</si>
  <si>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</si>
  <si>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</si>
  <si>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</si>
  <si>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</si>
  <si>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</si>
  <si>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</si>
  <si>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</si>
  <si>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</si>
  <si>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</si>
  <si>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</si>
  <si>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</si>
  <si>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</si>
  <si>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</si>
  <si>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</si>
  <si>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</si>
  <si>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</si>
  <si>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</si>
  <si>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</si>
  <si>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</si>
  <si>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</si>
  <si>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</si>
  <si>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</si>
  <si>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</si>
  <si>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</si>
  <si>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</si>
  <si>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</si>
  <si>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</si>
  <si>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</si>
  <si>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</si>
  <si>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</si>
  <si>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</si>
  <si>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</si>
  <si>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</si>
  <si>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</si>
  <si>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</si>
  <si>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</si>
  <si>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</si>
  <si>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</si>
  <si>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</si>
  <si>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</si>
  <si>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</si>
  <si>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</si>
  <si>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</si>
  <si>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</si>
  <si>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</si>
  <si>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</si>
  <si>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</si>
  <si>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</si>
  <si>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</si>
  <si>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</si>
  <si>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</si>
  <si>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</si>
  <si>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</si>
  <si>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</si>
  <si>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</si>
  <si>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</si>
  <si>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</si>
  <si>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</si>
  <si>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</si>
  <si>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</si>
  <si>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</si>
  <si>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</si>
  <si>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</si>
  <si>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</si>
  <si>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</si>
  <si>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</si>
  <si>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</si>
  <si>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</si>
  <si>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</si>
  <si>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</si>
  <si>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</si>
  <si>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</si>
  <si>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</si>
  <si>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</si>
  <si>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</si>
  <si>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</si>
  <si>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</si>
  <si>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</si>
  <si>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</si>
  <si>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</si>
  <si>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</si>
  <si>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</si>
  <si>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</si>
  <si>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</si>
  <si>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</si>
  <si>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</si>
  <si>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</si>
  <si>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</si>
  <si>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</si>
  <si>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</si>
  <si>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</si>
  <si>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</si>
  <si>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</si>
  <si>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</si>
  <si>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</si>
  <si>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</si>
  <si>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</si>
  <si>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</si>
  <si>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</si>
  <si>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</si>
  <si>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</si>
  <si>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</si>
  <si>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</si>
  <si>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</si>
  <si>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</si>
  <si>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</si>
  <si>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</si>
  <si>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</si>
  <si>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</si>
  <si>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</si>
  <si>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</si>
  <si>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</si>
  <si>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</si>
  <si>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</si>
  <si>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</si>
  <si>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</si>
  <si>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</si>
  <si>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</si>
  <si>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</si>
  <si>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</si>
  <si>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</si>
  <si>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</si>
  <si>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</si>
  <si>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</si>
  <si>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</si>
  <si>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</si>
  <si>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</si>
  <si>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</si>
  <si>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</si>
  <si>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</si>
  <si>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</si>
  <si>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</si>
  <si>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</si>
  <si>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</si>
  <si>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</si>
  <si>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</si>
  <si>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</si>
  <si>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</si>
  <si>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</si>
  <si>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</si>
  <si>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</si>
  <si>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</si>
  <si>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</si>
  <si>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</si>
  <si>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</si>
  <si>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</si>
  <si>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</si>
  <si>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</si>
  <si>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</si>
  <si>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</si>
  <si>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</si>
  <si>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</si>
  <si>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</si>
  <si>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</si>
  <si>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</si>
  <si>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</si>
  <si>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</si>
  <si>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</si>
  <si>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</si>
  <si>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</si>
  <si>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</si>
  <si>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</si>
  <si>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</si>
  <si>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</si>
  <si>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</si>
  <si>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</si>
  <si>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</si>
  <si>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</si>
  <si>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</si>
  <si>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</si>
  <si>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</si>
  <si>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</si>
  <si>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</si>
  <si>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</si>
  <si>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</si>
  <si>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</si>
  <si>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</si>
  <si>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</si>
  <si>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</si>
  <si>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</si>
  <si>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</si>
  <si>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</si>
  <si>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</si>
  <si>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</si>
  <si>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</si>
  <si>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</si>
  <si>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</si>
  <si>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</si>
  <si>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</si>
  <si>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</si>
  <si>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</si>
  <si>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</si>
  <si>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</si>
  <si>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</si>
  <si>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</si>
  <si>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</si>
  <si>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</si>
  <si>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</si>
  <si>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</si>
  <si>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</si>
  <si>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</si>
  <si>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</si>
  <si>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</si>
  <si>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</si>
  <si>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</si>
  <si>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</si>
  <si>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</si>
  <si>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</si>
  <si>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</si>
  <si>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</si>
  <si>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</si>
  <si>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</si>
  <si>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</si>
  <si>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</si>
  <si>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</si>
  <si>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</si>
  <si>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</si>
  <si>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</si>
  <si>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</si>
  <si>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</si>
  <si>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</si>
  <si>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</si>
  <si>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</si>
  <si>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</si>
  <si>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</si>
  <si>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</si>
  <si>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</si>
  <si>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</si>
  <si>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</si>
  <si>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</si>
  <si>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</si>
  <si>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</si>
  <si>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</si>
  <si>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</si>
  <si>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</si>
  <si>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</si>
  <si>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</si>
  <si>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</si>
  <si>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</si>
  <si>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</si>
  <si>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</si>
  <si>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</si>
  <si>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</si>
  <si>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</si>
  <si>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</si>
  <si>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</si>
  <si>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</si>
  <si>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</si>
  <si>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</si>
  <si>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</si>
  <si>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</si>
  <si>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</si>
  <si>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</si>
  <si>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</si>
  <si>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</si>
  <si>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</si>
  <si>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</si>
  <si>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</si>
  <si>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</si>
  <si>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</si>
  <si>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</si>
  <si>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</si>
  <si>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</si>
  <si>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</si>
  <si>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</si>
  <si>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</si>
  <si>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</si>
  <si>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</si>
  <si>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</si>
  <si>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</si>
  <si>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</si>
  <si>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</si>
  <si>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</si>
  <si>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</si>
  <si>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</si>
  <si>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</si>
  <si>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</si>
  <si>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</si>
  <si>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</si>
  <si>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</si>
  <si>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</si>
  <si>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</si>
  <si>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</si>
  <si>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</si>
  <si>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</si>
  <si>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</si>
  <si>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</si>
  <si>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</si>
  <si>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</si>
  <si>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</si>
  <si>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</si>
  <si>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</si>
  <si>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</si>
  <si>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</si>
  <si>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</si>
  <si>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</si>
  <si>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</si>
  <si>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</si>
  <si>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</si>
  <si>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</si>
  <si>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</si>
  <si>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</si>
  <si>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</si>
  <si>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</si>
  <si>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</si>
  <si>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</si>
  <si>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</si>
  <si>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</si>
  <si>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</si>
  <si>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</si>
  <si>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</si>
  <si>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</si>
  <si>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</si>
  <si>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</si>
  <si>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</si>
  <si>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</si>
  <si>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</si>
  <si>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</si>
  <si>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</si>
  <si>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</si>
  <si>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</si>
  <si>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</si>
  <si>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</si>
  <si>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</si>
  <si>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</si>
  <si>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</si>
  <si>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</si>
  <si>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</si>
  <si>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</si>
  <si>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</si>
  <si>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</si>
  <si>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Unit Price</t>
  </si>
  <si>
    <t>Total Price</t>
  </si>
  <si>
    <t>Count</t>
  </si>
  <si>
    <t>Mean</t>
  </si>
  <si>
    <t>Median</t>
  </si>
  <si>
    <t>Statistic</t>
  </si>
  <si>
    <t>Minimum</t>
  </si>
  <si>
    <t>Maximum</t>
  </si>
  <si>
    <t>Standard Deviation</t>
  </si>
  <si>
    <t>Sum</t>
  </si>
  <si>
    <t>Average</t>
  </si>
  <si>
    <t>Running Total</t>
  </si>
  <si>
    <t>Column1</t>
  </si>
  <si>
    <t>Row Labels</t>
  </si>
  <si>
    <t>Grand Total</t>
  </si>
  <si>
    <t>Sum of Unit Price</t>
  </si>
  <si>
    <t>Sum of Total Price</t>
  </si>
  <si>
    <t>Sum of Quantity</t>
  </si>
  <si>
    <t>Key Observations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</si>
  <si>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The dataset contains 1200 records.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</si>
  <si>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Average order value is $1,053.97 with a median of $823.62.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</si>
  <si>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Average quantity purchased per order is 2.95 items.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</si>
  <si>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8 potential outliers were identified in TotalPrice.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</si>
  <si>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mbria"/>
        <family val="1"/>
      </rPr>
      <t>The highest total order value recorded was $3,456.40.</t>
    </r>
  </si>
  <si>
    <t>Descriptive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</si>
</sst>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4" tint="-0.249977111117893"/>
      <name val="Calibri"/>
      <family val="2"/>
      <scheme val="minor"/>
    </font>
    <font>
      <b/>
      <sz val="13"/>
      <color rgb="FF4F81BD"/>
      <name val="Calibri"/>
      <family val="2"/>
      <scheme val="minor"/>
    </font>
    <font>
      <sz val="11"/>
      <color theme="1"/>
      <name val="Cambria"/>
      <family val="1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22069116360455"/>
          <c:y val="0.12078703703703704"/>
          <c:w val="0.73023753280839909"/>
          <c:h val="0.735354695246427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Cleaned_Data!$Q$1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Cleaned_Data!$Q$2:$Q$7</c:f>
              <c:numCache>
                <c:formatCode>General</c:formatCode>
                <c:ptCount val="6"/>
                <c:pt idx="0">
                  <c:v>1200</c:v>
                </c:pt>
                <c:pt idx="1">
                  <c:v>2.95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1.4075570987983175</c:v>
                </c:pt>
              </c:numCache>
            </c:numRef>
          </c:val>
        </c:ser>
        <c:ser>
          <c:idx val="1"/>
          <c:order val="1"/>
          <c:tx>
            <c:strRef>
              <c:f>Cleaned_Data!$R$1</c:f>
              <c:strCache>
                <c:ptCount val="1"/>
                <c:pt idx="0">
                  <c:v>Unit Price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Cleaned_Data!$R$2:$R$7</c:f>
              <c:numCache>
                <c:formatCode>General</c:formatCode>
                <c:ptCount val="6"/>
                <c:pt idx="0">
                  <c:v>1200</c:v>
                </c:pt>
                <c:pt idx="1">
                  <c:v>356.41</c:v>
                </c:pt>
                <c:pt idx="2">
                  <c:v>364.21</c:v>
                </c:pt>
                <c:pt idx="3">
                  <c:v>11.39</c:v>
                </c:pt>
                <c:pt idx="4">
                  <c:v>699.93</c:v>
                </c:pt>
                <c:pt idx="5">
                  <c:v>197.17714641491236</c:v>
                </c:pt>
              </c:numCache>
            </c:numRef>
          </c:val>
        </c:ser>
        <c:ser>
          <c:idx val="2"/>
          <c:order val="2"/>
          <c:tx>
            <c:strRef>
              <c:f>Cleaned_Data!$S$1</c:f>
              <c:strCache>
                <c:ptCount val="1"/>
                <c:pt idx="0">
                  <c:v>Total Price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Cleaned_Data!$S$2:$S$7</c:f>
              <c:numCache>
                <c:formatCode>#,##0.00</c:formatCode>
                <c:ptCount val="6"/>
                <c:pt idx="0" formatCode="General">
                  <c:v>1200</c:v>
                </c:pt>
                <c:pt idx="1">
                  <c:v>1053.97</c:v>
                </c:pt>
                <c:pt idx="2" formatCode="General">
                  <c:v>823.61500000000001</c:v>
                </c:pt>
                <c:pt idx="3" formatCode="General">
                  <c:v>11.39</c:v>
                </c:pt>
                <c:pt idx="4" formatCode="General">
                  <c:v>3456.4</c:v>
                </c:pt>
                <c:pt idx="5" formatCode="General">
                  <c:v>819.85655836464559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9752928"/>
        <c:axId val="439753712"/>
      </c:barChart>
      <c:catAx>
        <c:axId val="439752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53712"/>
        <c:crosses val="autoZero"/>
        <c:auto val="1"/>
        <c:lblAlgn val="ctr"/>
        <c:lblOffset val="100"/>
        <c:noMultiLvlLbl val="0"/>
      </c:catAx>
      <c:valAx>
        <c:axId val="43975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75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Cleaned_Data!$Q$1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Cleaned_Data!$Q$2:$Q$7</c:f>
              <c:numCache>
                <c:formatCode>General</c:formatCode>
                <c:ptCount val="6"/>
                <c:pt idx="0">
                  <c:v>1200</c:v>
                </c:pt>
                <c:pt idx="1">
                  <c:v>2.95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1.4075570987983175</c:v>
                </c:pt>
              </c:numCache>
            </c:numRef>
          </c:val>
        </c:ser>
        <c:ser>
          <c:idx val="1"/>
          <c:order val="1"/>
          <c:tx>
            <c:strRef>
              <c:f>Cleaned_Data!$R$1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Cleaned_Data!$R$2:$R$7</c:f>
              <c:numCache>
                <c:formatCode>General</c:formatCode>
                <c:ptCount val="6"/>
                <c:pt idx="0">
                  <c:v>1200</c:v>
                </c:pt>
                <c:pt idx="1">
                  <c:v>356.41</c:v>
                </c:pt>
                <c:pt idx="2">
                  <c:v>364.21</c:v>
                </c:pt>
                <c:pt idx="3">
                  <c:v>11.39</c:v>
                </c:pt>
                <c:pt idx="4">
                  <c:v>699.93</c:v>
                </c:pt>
                <c:pt idx="5">
                  <c:v>197.17714641491236</c:v>
                </c:pt>
              </c:numCache>
            </c:numRef>
          </c:val>
        </c:ser>
        <c:ser>
          <c:idx val="2"/>
          <c:order val="2"/>
          <c:tx>
            <c:strRef>
              <c:f>Cleaned_Data!$S$1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Cleaned_Data!$S$2:$S$7</c:f>
              <c:numCache>
                <c:formatCode>#,##0.00</c:formatCode>
                <c:ptCount val="6"/>
                <c:pt idx="0" formatCode="General">
                  <c:v>1200</c:v>
                </c:pt>
                <c:pt idx="1">
                  <c:v>1053.97</c:v>
                </c:pt>
                <c:pt idx="2" formatCode="General">
                  <c:v>823.61500000000001</c:v>
                </c:pt>
                <c:pt idx="3" formatCode="General">
                  <c:v>11.39</c:v>
                </c:pt>
                <c:pt idx="4" formatCode="General">
                  <c:v>3456.4</c:v>
                </c:pt>
                <c:pt idx="5" formatCode="General">
                  <c:v>819.85655836464559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754504"/>
        <c:axId val="261749800"/>
      </c:barChart>
      <c:catAx>
        <c:axId val="261754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49800"/>
        <c:crosses val="autoZero"/>
        <c:auto val="1"/>
        <c:lblAlgn val="ctr"/>
        <c:lblOffset val="100"/>
        <c:noMultiLvlLbl val="0"/>
      </c:catAx>
      <c:valAx>
        <c:axId val="26174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75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Cleaned_Data!$Q$1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Cleaned_Data!$Q$2:$Q$7</c:f>
              <c:numCache>
                <c:formatCode>General</c:formatCode>
                <c:ptCount val="6"/>
                <c:pt idx="0">
                  <c:v>1200</c:v>
                </c:pt>
                <c:pt idx="1">
                  <c:v>2.95</c:v>
                </c:pt>
                <c:pt idx="2">
                  <c:v>3</c:v>
                </c:pt>
                <c:pt idx="3">
                  <c:v>1</c:v>
                </c:pt>
                <c:pt idx="4">
                  <c:v>5</c:v>
                </c:pt>
                <c:pt idx="5">
                  <c:v>1.4075570987983175</c:v>
                </c:pt>
              </c:numCache>
            </c:numRef>
          </c:val>
        </c:ser>
        <c:ser>
          <c:idx val="1"/>
          <c:order val="1"/>
          <c:tx>
            <c:strRef>
              <c:f>Cleaned_Data!$R$1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Cleaned_Data!$R$2:$R$7</c:f>
              <c:numCache>
                <c:formatCode>General</c:formatCode>
                <c:ptCount val="6"/>
                <c:pt idx="0">
                  <c:v>1200</c:v>
                </c:pt>
                <c:pt idx="1">
                  <c:v>356.41</c:v>
                </c:pt>
                <c:pt idx="2">
                  <c:v>364.21</c:v>
                </c:pt>
                <c:pt idx="3">
                  <c:v>11.39</c:v>
                </c:pt>
                <c:pt idx="4">
                  <c:v>699.93</c:v>
                </c:pt>
                <c:pt idx="5">
                  <c:v>197.17714641491236</c:v>
                </c:pt>
              </c:numCache>
            </c:numRef>
          </c:val>
        </c:ser>
        <c:ser>
          <c:idx val="2"/>
          <c:order val="2"/>
          <c:tx>
            <c:strRef>
              <c:f>Cleaned_Data!$S$1</c:f>
              <c:strCache>
                <c:ptCount val="1"/>
                <c:pt idx="0">
                  <c:v>Total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Cleaned_Data!$P$2:$P$7</c:f>
              <c:strCache>
                <c:ptCount val="6"/>
                <c:pt idx="0">
                  <c:v>Count</c:v>
                </c:pt>
                <c:pt idx="1">
                  <c:v>Mean</c:v>
                </c:pt>
                <c:pt idx="2">
                  <c:v>Median</c:v>
                </c:pt>
                <c:pt idx="3">
                  <c:v>Minimum</c:v>
                </c:pt>
                <c:pt idx="4">
                  <c:v>Maximum</c:v>
                </c:pt>
                <c:pt idx="5">
                  <c:v>Standard Deviation</c:v>
                </c:pt>
              </c:strCache>
            </c:strRef>
          </c:cat>
          <c:val>
            <c:numRef>
              <c:f>Cleaned_Data!$S$2:$S$7</c:f>
              <c:numCache>
                <c:formatCode>#,##0.00</c:formatCode>
                <c:ptCount val="6"/>
                <c:pt idx="0" formatCode="General">
                  <c:v>1200</c:v>
                </c:pt>
                <c:pt idx="1">
                  <c:v>1053.97</c:v>
                </c:pt>
                <c:pt idx="2" formatCode="General">
                  <c:v>823.61500000000001</c:v>
                </c:pt>
                <c:pt idx="3" formatCode="General">
                  <c:v>11.39</c:v>
                </c:pt>
                <c:pt idx="4" formatCode="General">
                  <c:v>3456.4</c:v>
                </c:pt>
                <c:pt idx="5" formatCode="General">
                  <c:v>819.85655836464559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4448528"/>
        <c:axId val="574448920"/>
      </c:barChart>
      <c:catAx>
        <c:axId val="574448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448920"/>
        <c:crosses val="autoZero"/>
        <c:auto val="1"/>
        <c:lblAlgn val="ctr"/>
        <c:lblOffset val="100"/>
        <c:noMultiLvlLbl val="0"/>
      </c:catAx>
      <c:valAx>
        <c:axId val="574448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444852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389255</xdr:colOff>
      <xdr:row>19</xdr:row>
      <xdr:rowOff>100330</xdr:rowOff>
    </xdr:from>
    <xdr:to>
      <xdr:col>26</xdr:col>
      <xdr:colOff>434974</xdr:colOff>
      <xdr:row>19</xdr:row>
      <xdr:rowOff>146049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187325</xdr:colOff>
      <xdr:row>0</xdr:row>
      <xdr:rowOff>63500</xdr:rowOff>
    </xdr:from>
    <xdr:to>
      <xdr:col>26</xdr:col>
      <xdr:colOff>314325</xdr:colOff>
      <xdr:row>15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0</xdr:row>
      <xdr:rowOff>146050</xdr:rowOff>
    </xdr:from>
    <xdr:to>
      <xdr:col>12</xdr:col>
      <xdr:colOff>6350</xdr:colOff>
      <xdr:row>11</xdr:row>
      <xdr:rowOff>6350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cis anumu" refreshedDate="46182.595339120373" createdVersion="5" refreshedVersion="5" minRefreshableVersion="3" recordCount="6">
  <cacheSource type="worksheet">
    <worksheetSource name="Table2"/>
  </cacheSource>
  <cacheFields count="4">
    <cacheField name="Statistic" numFmtId="0">
      <sharedItems count="6">
        <s v="Count"/>
        <s v="Mean"/>
        <s v="Median"/>
        <s v="Minimum"/>
        <s v="Maximum"/>
        <s v="Standard Deviation"/>
      </sharedItems>
    </cacheField>
    <cacheField name="Quantity" numFmtId="0">
      <sharedItems containsSemiMixedTypes="0" containsString="0" containsNumber="1" minValue="1" maxValue="1200"/>
    </cacheField>
    <cacheField name="Unit Price" numFmtId="0">
      <sharedItems containsSemiMixedTypes="0" containsString="0" containsNumber="1" minValue="11.39" maxValue="1200"/>
    </cacheField>
    <cacheField name="Total 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n v="1200"/>
    <n v="1200"/>
    <n v="1200"/>
  </r>
  <r>
    <x v="1"/>
    <n v="2.95"/>
    <n v="356.41"/>
    <n v="1053.97"/>
  </r>
  <r>
    <x v="2"/>
    <n v="3"/>
    <n v="364.21"/>
    <n v="823.61500000000001"/>
  </r>
  <r>
    <x v="3"/>
    <n v="1"/>
    <n v="11.39"/>
    <n v="11.39"/>
  </r>
  <r>
    <x v="4"/>
    <n v="5"/>
    <n v="699.93"/>
    <n v="3456.4"/>
  </r>
  <r>
    <x v="5"/>
    <n v="1.4075570987983175"/>
    <n v="197.17714641491236"/>
    <n v="819.8565583646455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2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D10" firstHeaderRow="0" firstDataRow="1" firstDataCol="1"/>
  <pivotFields count="4">
    <pivotField axis="axisRow" showAll="0">
      <items count="7">
        <item x="0"/>
        <item x="4"/>
        <item x="1"/>
        <item x="2"/>
        <item x="3"/>
        <item x="5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" baseField="0" baseItem="0"/>
    <dataField name="Sum of Unit Price" fld="2" baseField="0" baseItem="0"/>
    <dataField name="Sum of Total Price" fld="3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2" displayName="Table2" ref="P1:S7" totalsRowShown="0" headerRowDxfId="1">
  <autoFilter ref="P1:S7"/>
  <tableColumns count="4">
    <tableColumn id="1" name="Statistic"/>
    <tableColumn id="2" name="Quantity"/>
    <tableColumn id="3" name="Unit Price"/>
    <tableColumn id="4" name="Total Pric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7" name="Table7" displayName="Table7" ref="A2:D8" totalsRowShown="0" headerRowDxfId="0">
  <autoFilter ref="A2:D8"/>
  <tableColumns count="4">
    <tableColumn id="1" name="Statistic"/>
    <tableColumn id="2" name="Quantity"/>
    <tableColumn id="3" name="Unit Price"/>
    <tableColumn id="4" name="Total Pric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0"/>
  <sheetViews>
    <sheetView workbookViewId="0">
      <selection activeCell="C4" sqref="C4"/>
    </sheetView>
  </sheetViews>
  <sheetFormatPr defaultRowHeight="14.5"/>
  <cols>
    <col min="1" max="1" width="16.81640625" bestFit="1" customWidth="1"/>
    <col min="2" max="2" width="14.54296875" customWidth="1"/>
    <col min="3" max="3" width="15.26953125" customWidth="1"/>
    <col min="4" max="4" width="16" bestFit="1" customWidth="1"/>
  </cols>
  <sheetData>
    <row r="3" spans="1:4">
      <c r="A3" s="12" t="s">
        <v>4297</v>
      </c>
      <c r="B3" t="s">
        <v>4301</v>
      </c>
      <c r="C3" t="s">
        <v>4299</v>
      </c>
      <c r="D3" t="s">
        <v>4300</v>
      </c>
    </row>
    <row r="4" spans="1:4">
      <c r="A4" s="13" t="s">
        <v>4286</v>
      </c>
      <c r="B4" s="14">
        <v>1200</v>
      </c>
      <c r="C4" s="14">
        <v>1200</v>
      </c>
      <c r="D4" s="14">
        <v>1200</v>
      </c>
    </row>
    <row r="5" spans="1:4">
      <c r="A5" s="13" t="s">
        <v>4291</v>
      </c>
      <c r="B5" s="14">
        <v>5</v>
      </c>
      <c r="C5" s="14">
        <v>699.93</v>
      </c>
      <c r="D5" s="14">
        <v>3456.4</v>
      </c>
    </row>
    <row r="6" spans="1:4">
      <c r="A6" s="13" t="s">
        <v>4287</v>
      </c>
      <c r="B6" s="14">
        <v>2.95</v>
      </c>
      <c r="C6" s="14">
        <v>356.41</v>
      </c>
      <c r="D6" s="14">
        <v>1053.97</v>
      </c>
    </row>
    <row r="7" spans="1:4">
      <c r="A7" s="13" t="s">
        <v>4288</v>
      </c>
      <c r="B7" s="14">
        <v>3</v>
      </c>
      <c r="C7" s="14">
        <v>364.21</v>
      </c>
      <c r="D7" s="14">
        <v>823.61500000000001</v>
      </c>
    </row>
    <row r="8" spans="1:4">
      <c r="A8" s="13" t="s">
        <v>4290</v>
      </c>
      <c r="B8" s="14">
        <v>1</v>
      </c>
      <c r="C8" s="14">
        <v>11.39</v>
      </c>
      <c r="D8" s="14">
        <v>11.39</v>
      </c>
    </row>
    <row r="9" spans="1:4">
      <c r="A9" s="13" t="s">
        <v>4292</v>
      </c>
      <c r="B9" s="14">
        <v>1.4075570987983175</v>
      </c>
      <c r="C9" s="14">
        <v>197.17714641491236</v>
      </c>
      <c r="D9" s="14">
        <v>819.85655836464559</v>
      </c>
    </row>
    <row r="10" spans="1:4">
      <c r="A10" s="13" t="s">
        <v>4298</v>
      </c>
      <c r="B10" s="14">
        <v>1213.3575570987985</v>
      </c>
      <c r="C10" s="14">
        <v>2829.117146414912</v>
      </c>
      <c r="D10" s="14">
        <v>7365.2315583646459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01"/>
  <sheetViews>
    <sheetView topLeftCell="M1" workbookViewId="0">
      <selection activeCell="Q14" sqref="Q14"/>
    </sheetView>
  </sheetViews>
  <sheetFormatPr defaultRowHeight="14.5"/>
  <cols>
    <col min="2" max="2" width="19.26953125" customWidth="1"/>
    <col min="3" max="3" width="11.1796875" customWidth="1"/>
    <col min="15" max="15" width="15.1796875" customWidth="1"/>
    <col min="16" max="16" width="16.81640625" bestFit="1" customWidth="1"/>
    <col min="17" max="17" width="10.1796875" customWidth="1"/>
    <col min="18" max="18" width="10.90625" customWidth="1"/>
    <col min="19" max="19" width="11.6328125" customWidth="1"/>
    <col min="24" max="24" width="11.26953125" customWidth="1"/>
  </cols>
  <sheetData>
    <row r="1" spans="1:24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P1" s="8" t="s">
        <v>4289</v>
      </c>
      <c r="Q1" s="11" t="s">
        <v>4</v>
      </c>
      <c r="R1" s="11" t="s">
        <v>4284</v>
      </c>
      <c r="S1" s="11" t="s">
        <v>4285</v>
      </c>
      <c r="U1" s="3"/>
      <c r="V1" s="3"/>
      <c r="W1" s="3"/>
      <c r="X1" s="3"/>
    </row>
    <row r="2" spans="1:2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  <c r="P2" t="s">
        <v>4286</v>
      </c>
      <c r="Q2">
        <f>COUNT(E2:E1201)</f>
        <v>1200</v>
      </c>
      <c r="R2">
        <f>COUNT(F2:F1201)</f>
        <v>1200</v>
      </c>
      <c r="S2">
        <f>COUNT(N2:N1201)</f>
        <v>1200</v>
      </c>
      <c r="U2" s="4"/>
      <c r="V2" s="5"/>
      <c r="W2" s="5"/>
      <c r="X2" s="5"/>
    </row>
    <row r="3" spans="1:2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  <c r="P3" t="s">
        <v>4287</v>
      </c>
      <c r="Q3">
        <v>2.95</v>
      </c>
      <c r="R3">
        <v>356.41</v>
      </c>
      <c r="S3" s="6">
        <v>1053.97</v>
      </c>
      <c r="U3" s="4"/>
      <c r="V3" s="4"/>
      <c r="W3" s="4"/>
      <c r="X3" s="7"/>
    </row>
    <row r="4" spans="1:2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  <c r="P4" t="s">
        <v>4288</v>
      </c>
      <c r="Q4">
        <f>MEDIAN(E2:E1201)</f>
        <v>3</v>
      </c>
      <c r="R4">
        <f>MEDIAN(F2:F1201)</f>
        <v>364.21</v>
      </c>
      <c r="S4">
        <f>MEDIAN(N2:N1201)</f>
        <v>823.61500000000001</v>
      </c>
      <c r="U4" s="4"/>
      <c r="V4" s="4"/>
      <c r="W4" s="4"/>
      <c r="X4" s="4"/>
    </row>
    <row r="5" spans="1:2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  <c r="P5" t="s">
        <v>4290</v>
      </c>
      <c r="Q5">
        <f>MIN(E2:E1201)</f>
        <v>1</v>
      </c>
      <c r="R5">
        <f>MIN(F2:F1201)</f>
        <v>11.39</v>
      </c>
      <c r="S5">
        <f>MIN(N2:N1201)</f>
        <v>11.39</v>
      </c>
    </row>
    <row r="6" spans="1:2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  <c r="P6" t="s">
        <v>4291</v>
      </c>
      <c r="Q6">
        <f>MAX(E2:E1201)</f>
        <v>5</v>
      </c>
      <c r="R6">
        <f>MAX(F2:F1201)</f>
        <v>699.93</v>
      </c>
      <c r="S6">
        <f>MAX(N2:N1201)</f>
        <v>3456.4</v>
      </c>
    </row>
    <row r="7" spans="1:2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  <c r="P7" t="s">
        <v>4292</v>
      </c>
      <c r="Q7">
        <f>_xlfn.STDEV.S(E2:E1201)</f>
        <v>1.4075570987983175</v>
      </c>
      <c r="R7">
        <f>_xlfn.STDEV.S(F2:F1201)</f>
        <v>197.17714641491236</v>
      </c>
      <c r="S7">
        <f>_xlfn.STDEV.S(N2:N1201)</f>
        <v>819.85655836464559</v>
      </c>
    </row>
    <row r="8" spans="1:2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2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2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24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24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24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24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24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24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RowColHeaders="0" tabSelected="1" workbookViewId="0">
      <selection activeCell="E16" sqref="E16"/>
    </sheetView>
  </sheetViews>
  <sheetFormatPr defaultRowHeight="14.5"/>
  <cols>
    <col min="1" max="1" width="19.26953125" customWidth="1"/>
    <col min="2" max="2" width="18.1796875" customWidth="1"/>
    <col min="3" max="3" width="13.81640625" customWidth="1"/>
    <col min="4" max="4" width="17.26953125" customWidth="1"/>
    <col min="10" max="10" width="10.26953125" customWidth="1"/>
  </cols>
  <sheetData>
    <row r="1" spans="1:13">
      <c r="A1" s="17" t="s">
        <v>4308</v>
      </c>
      <c r="B1" s="17"/>
      <c r="C1" s="17"/>
      <c r="D1" s="17"/>
      <c r="F1" s="10"/>
    </row>
    <row r="2" spans="1:13">
      <c r="A2" s="11" t="s">
        <v>4289</v>
      </c>
      <c r="B2" s="11" t="s">
        <v>4</v>
      </c>
      <c r="C2" s="11" t="s">
        <v>4284</v>
      </c>
      <c r="D2" s="11" t="s">
        <v>4285</v>
      </c>
      <c r="F2" s="9"/>
    </row>
    <row r="3" spans="1:13">
      <c r="A3" t="s">
        <v>4286</v>
      </c>
      <c r="B3">
        <v>1200</v>
      </c>
      <c r="C3">
        <v>1200</v>
      </c>
      <c r="D3">
        <v>1200</v>
      </c>
      <c r="F3" s="9"/>
    </row>
    <row r="4" spans="1:13">
      <c r="A4" t="s">
        <v>4287</v>
      </c>
      <c r="B4">
        <v>2.95</v>
      </c>
      <c r="C4">
        <v>356.41</v>
      </c>
      <c r="D4">
        <v>1053.97</v>
      </c>
      <c r="F4" s="9"/>
    </row>
    <row r="5" spans="1:13">
      <c r="A5" t="s">
        <v>4288</v>
      </c>
      <c r="B5">
        <v>3</v>
      </c>
      <c r="C5">
        <v>364.21</v>
      </c>
      <c r="D5">
        <v>823.61500000000001</v>
      </c>
      <c r="F5" s="9"/>
    </row>
    <row r="6" spans="1:13">
      <c r="A6" t="s">
        <v>4290</v>
      </c>
      <c r="B6">
        <v>1</v>
      </c>
      <c r="C6">
        <v>11.39</v>
      </c>
      <c r="D6">
        <v>11.39</v>
      </c>
      <c r="F6" s="9"/>
    </row>
    <row r="7" spans="1:13">
      <c r="A7" t="s">
        <v>4291</v>
      </c>
      <c r="B7">
        <v>5</v>
      </c>
      <c r="C7">
        <v>699.93</v>
      </c>
      <c r="D7">
        <v>3456.4</v>
      </c>
      <c r="F7" s="9"/>
    </row>
    <row r="8" spans="1:13">
      <c r="A8" t="s">
        <v>4292</v>
      </c>
      <c r="B8">
        <v>1.4075570987983175</v>
      </c>
      <c r="C8">
        <v>197.17714641491236</v>
      </c>
      <c r="D8">
        <v>819.85655836464559</v>
      </c>
      <c r="J8" s="11"/>
      <c r="K8" s="11"/>
      <c r="L8" s="11"/>
      <c r="M8" s="11"/>
    </row>
    <row r="9" spans="1:13">
      <c r="A9" s="4"/>
      <c r="B9" s="9"/>
      <c r="C9" s="9"/>
      <c r="D9" s="9"/>
    </row>
    <row r="10" spans="1:13">
      <c r="A10" s="4"/>
      <c r="B10" s="9"/>
      <c r="C10" s="9"/>
      <c r="D10" s="9"/>
    </row>
    <row r="11" spans="1:13" ht="17">
      <c r="A11" s="15" t="s">
        <v>4302</v>
      </c>
      <c r="B11" s="9"/>
      <c r="C11" s="9"/>
      <c r="D11" s="9"/>
    </row>
    <row r="12" spans="1:13">
      <c r="A12" s="16" t="s">
        <v>4303</v>
      </c>
      <c r="B12" s="9"/>
      <c r="C12" s="9"/>
      <c r="D12" s="9"/>
    </row>
    <row r="13" spans="1:13">
      <c r="A13" s="16" t="s">
        <v>4304</v>
      </c>
    </row>
    <row r="14" spans="1:13">
      <c r="A14" s="16" t="s">
        <v>4305</v>
      </c>
    </row>
    <row r="15" spans="1:13">
      <c r="A15" s="16" t="s">
        <v>4306</v>
      </c>
    </row>
    <row r="16" spans="1:13">
      <c r="A16" s="16" t="s">
        <v>4307</v>
      </c>
    </row>
    <row r="18" spans="4:4">
      <c r="D18" s="11"/>
    </row>
  </sheetData>
  <mergeCells count="1">
    <mergeCell ref="A1:D1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Cleaned_Data</vt:lpstr>
      <vt:lpstr>Statistics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anumu</cp:lastModifiedBy>
  <dcterms:created xsi:type="dcterms:W3CDTF">2026-06-05T14:02:22Z</dcterms:created>
  <dcterms:modified xsi:type="dcterms:W3CDTF">2026-06-09T22:43:21Z</dcterms:modified>
</cp:coreProperties>
</file>